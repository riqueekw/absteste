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ICHA" sheetId="1" state="visible" r:id="rId1"/>
    <sheet xmlns:r="http://schemas.openxmlformats.org/officeDocument/2006/relationships" name="MONT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</externalReference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1">
    <numFmt numFmtId="164" formatCode="[$-409]m/d/yyyy"/>
    <numFmt numFmtId="165" formatCode="d/m/yy;@"/>
    <numFmt numFmtId="166" formatCode="#,##0.000000;[RED]#,##0.000000"/>
    <numFmt numFmtId="167" formatCode="#,##0.00;[RED]#,##0.00"/>
    <numFmt numFmtId="168" formatCode="&quot;R$ &quot;#,##0.00;[RED]&quot;R$ &quot;#,##0.00"/>
    <numFmt numFmtId="169" formatCode="_(&quot;R$ &quot;* #,##0.0000_);_(&quot;R$ &quot;* \(#,##0.0000\);_(&quot;R$ &quot;* \-????_);_(@_)"/>
    <numFmt numFmtId="170" formatCode="0.000"/>
    <numFmt numFmtId="171" formatCode="&quot;R$ &quot;#,##0.00"/>
    <numFmt numFmtId="172" formatCode="&quot;R$ &quot;#,##0.00_);&quot;(R$ &quot;#,##0.00\)"/>
    <numFmt numFmtId="173" formatCode="_(&quot;R$ &quot;* #,##0.00_);_(&quot;R$ &quot;* \(#,##0.00\);_(&quot;R$ &quot;* \-??_);_(@_)"/>
    <numFmt numFmtId="174" formatCode="#,##0.0000;[RED]#,##0.0000"/>
    <numFmt numFmtId="175" formatCode="[$-409]#,##0.00_);\(#,##0.00\)"/>
    <numFmt numFmtId="176" formatCode="[$-409]#,##0_);\(#,##0\)"/>
    <numFmt numFmtId="177" formatCode="0.0000"/>
    <numFmt numFmtId="178" formatCode="_(* #,##0.0000_);_(* \(#,##0.0000\);_(* \-??_);_(@_)"/>
    <numFmt numFmtId="179" formatCode="_(* #,##0.0000_);_(* \(#,##0.0000\);_(* \-????_);_(@_)"/>
    <numFmt numFmtId="180" formatCode="[$R$-416]\ #,##0.00;[RED]\-[$R$-416]\ #,##0.00"/>
    <numFmt numFmtId="181" formatCode="[hh]:mm:ss"/>
    <numFmt numFmtId="182" formatCode="#########0"/>
    <numFmt numFmtId="183" formatCode="#####00000"/>
    <numFmt numFmtId="184" formatCode="_(* #,##0.00_);_(* \(#,##0.00\);_(* \-??_);_(@_)"/>
  </numFmts>
  <fonts count="46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mbria"/>
      <family val="2"/>
      <b val="1"/>
      <color rgb="FF003366"/>
      <sz val="18"/>
    </font>
    <font>
      <name val="Calibri"/>
      <family val="2"/>
      <b val="1"/>
      <color rgb="FF003366"/>
      <sz val="15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color rgb="FFFF0000"/>
      <sz val="14"/>
    </font>
    <font>
      <name val="Arial"/>
      <family val="2"/>
      <b val="1"/>
      <color rgb="FFFF0000"/>
      <sz val="8"/>
    </font>
    <font>
      <name val="Arial"/>
      <family val="2"/>
      <sz val="7"/>
    </font>
    <font>
      <name val="Arial"/>
      <family val="2"/>
      <sz val="6"/>
    </font>
    <font>
      <name val="Arial"/>
      <family val="2"/>
      <color rgb="FF0000FF"/>
      <sz val="8"/>
    </font>
    <font>
      <name val="Arial"/>
      <family val="2"/>
      <b val="1"/>
      <sz val="8"/>
    </font>
    <font>
      <name val="Arial"/>
      <family val="2"/>
      <b val="1"/>
      <i val="1"/>
      <sz val="6"/>
    </font>
    <font>
      <name val="Arial"/>
      <family val="2"/>
      <b val="1"/>
      <sz val="7"/>
    </font>
    <font>
      <name val="Arial"/>
      <family val="2"/>
      <b val="1"/>
      <sz val="16"/>
      <u val="single"/>
    </font>
    <font>
      <name val="Arial"/>
      <family val="2"/>
      <color rgb="FF0000FF"/>
      <sz val="12"/>
    </font>
    <font>
      <name val="Arial"/>
      <family val="2"/>
      <color rgb="FF0000FF"/>
      <sz val="10"/>
    </font>
    <font>
      <name val="Arial"/>
      <family val="2"/>
      <sz val="12"/>
    </font>
    <font>
      <name val="Arial"/>
      <family val="2"/>
      <b val="1"/>
      <sz val="14"/>
    </font>
    <font>
      <name val="Arial"/>
      <family val="2"/>
      <sz val="9"/>
    </font>
    <font>
      <name val="Arial"/>
      <family val="2"/>
      <color rgb="FF0000FF"/>
      <sz val="11"/>
    </font>
    <font>
      <name val="Arial"/>
      <family val="2"/>
      <color rgb="FFFF0000"/>
      <sz val="11"/>
    </font>
    <font>
      <name val="Arial"/>
      <family val="2"/>
      <sz val="11"/>
    </font>
    <font>
      <name val="Arial"/>
      <family val="2"/>
      <color rgb="FFFF0000"/>
      <sz val="10"/>
    </font>
    <font>
      <name val="Arial"/>
      <family val="2"/>
      <color rgb="FFFF0000"/>
      <sz val="9"/>
    </font>
    <font>
      <name val="Arial"/>
      <family val="2"/>
      <color rgb="FF0000FF"/>
      <sz val="16"/>
    </font>
    <font>
      <name val="Arial"/>
      <family val="2"/>
      <b val="1"/>
      <color rgb="FFFF0000"/>
      <sz val="10"/>
    </font>
    <font>
      <name val="Arial"/>
      <family val="2"/>
      <sz val="14"/>
    </font>
    <font>
      <name val="Arial"/>
      <family val="2"/>
      <color rgb="FF0000FF"/>
      <sz val="9"/>
    </font>
    <font>
      <name val="Arial"/>
      <family val="2"/>
      <b val="1"/>
      <sz val="16"/>
    </font>
    <font>
      <name val="Arial"/>
      <family val="2"/>
      <b val="1"/>
      <sz val="15"/>
    </font>
    <font>
      <name val="Arial"/>
      <family val="2"/>
      <color rgb="FF0000FF"/>
      <sz val="14"/>
    </font>
    <font>
      <name val="Arial"/>
      <family val="2"/>
      <b val="1"/>
      <sz val="11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color rgb="FFFFFFFF"/>
      <sz val="10"/>
    </font>
    <font>
      <name val="Arial"/>
      <family val="2"/>
      <b val="1"/>
      <color rgb="FFFFFFFF"/>
      <sz val="12"/>
    </font>
    <font>
      <name val="Times New Roman"/>
      <family val="1"/>
      <b val="1"/>
      <color rgb="FF000000"/>
      <sz val="8"/>
    </font>
    <font>
      <name val="Times New Roman"/>
      <family val="1"/>
      <color rgb="FF000000"/>
      <sz val="8"/>
    </font>
    <font>
      <name val="Arial"/>
      <family val="2"/>
      <sz val="5"/>
    </font>
    <font>
      <name val="Arial"/>
      <family val="2"/>
      <b val="1"/>
      <color rgb="FF000000"/>
      <sz val="10"/>
    </font>
    <font>
      <name val="Arial"/>
      <family val="2"/>
      <b val="1"/>
      <color rgb="FFFFFFFF"/>
      <sz val="10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CC99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0000FF"/>
        <bgColor rgb="FF0000FF"/>
      </patternFill>
    </fill>
    <fill>
      <patternFill patternType="solid">
        <fgColor rgb="FF000000"/>
        <bgColor rgb="FF003300"/>
      </patternFill>
    </fill>
  </fills>
  <borders count="75">
    <border>
      <left/>
      <right/>
      <top/>
      <bottom/>
      <diagonal/>
    </border>
    <border>
      <left/>
      <right/>
      <top/>
      <bottom style="thick">
        <color rgb="FF333399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 style="medium"/>
      <right style="medium"/>
      <top style="medium"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 style="medium"/>
      <top/>
      <bottom style="thin"/>
      <diagonal/>
    </border>
    <border>
      <left style="medium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medium"/>
      <top/>
      <bottom/>
      <diagonal/>
    </border>
    <border>
      <left style="medium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medium"/>
      <top style="thin"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/>
      <right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/>
      <top style="thin"/>
      <bottom style="thin"/>
      <diagonal/>
    </border>
    <border>
      <left style="medium"/>
      <right style="medium"/>
      <top/>
      <bottom style="medium"/>
      <diagonal/>
    </border>
    <border>
      <left/>
      <right/>
      <top/>
      <bottom style="medium"/>
      <diagonal/>
    </border>
    <border>
      <left style="medium"/>
      <right style="thin"/>
      <top/>
      <bottom/>
      <diagonal/>
    </border>
    <border>
      <left style="thin"/>
      <right style="medium"/>
      <top/>
      <bottom/>
      <diagonal/>
    </border>
    <border>
      <left style="medium"/>
      <right style="thin"/>
      <top style="thin"/>
      <bottom/>
      <diagonal/>
    </border>
    <border>
      <left style="thin"/>
      <right/>
      <top style="medium"/>
      <bottom style="thin"/>
      <diagonal/>
    </border>
    <border>
      <left/>
      <right/>
      <top style="medium"/>
      <bottom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thin"/>
      <right/>
      <top style="thin"/>
      <bottom style="medium"/>
      <diagonal/>
    </border>
    <border>
      <left style="medium"/>
      <right/>
      <top/>
      <bottom style="thin"/>
      <diagonal/>
    </border>
    <border>
      <left/>
      <right/>
      <top style="medium"/>
      <bottom style="medium"/>
      <diagonal/>
    </border>
    <border>
      <left/>
      <right style="medium"/>
      <top style="thin"/>
      <bottom/>
      <diagonal/>
    </border>
    <border>
      <left style="thin"/>
      <right style="medium"/>
      <top/>
      <bottom style="medium"/>
      <diagonal/>
    </border>
    <border>
      <left style="thin"/>
      <right/>
      <top style="medium"/>
      <bottom style="medium"/>
      <diagonal/>
    </border>
    <border>
      <left/>
      <right style="thin"/>
      <top style="medium"/>
      <bottom style="medium"/>
      <diagonal/>
    </border>
    <border>
      <left style="thin"/>
      <right style="thin"/>
      <top style="medium"/>
      <bottom/>
      <diagonal/>
    </border>
    <border>
      <left style="medium"/>
      <right/>
      <top style="medium"/>
      <bottom style="medium"/>
      <diagonal/>
    </border>
    <border>
      <left style="medium"/>
      <right/>
      <top style="thin"/>
      <bottom style="medium"/>
      <diagonal/>
    </border>
    <border>
      <left/>
      <right style="thin"/>
      <top style="thin"/>
      <bottom style="medium"/>
      <diagonal/>
    </border>
    <border>
      <left/>
      <right style="medium"/>
      <top style="medium"/>
      <bottom style="medium"/>
      <diagonal/>
    </border>
    <border>
      <left style="thin"/>
      <right style="thin"/>
      <top/>
      <bottom/>
      <diagonal/>
    </border>
    <border>
      <left/>
      <right style="thin"/>
      <top style="medium"/>
      <bottom/>
      <diagonal/>
    </border>
    <border>
      <left/>
      <right style="medium"/>
      <top/>
      <bottom style="thin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 style="medium"/>
      <diagonal/>
    </border>
    <border>
      <left/>
      <right style="thin"/>
      <top style="medium"/>
      <bottom style="thin"/>
      <diagonal/>
    </border>
    <border>
      <left/>
      <right style="medium"/>
      <top style="thin"/>
      <bottom style="thin"/>
      <diagonal/>
    </border>
    <border>
      <left/>
      <right style="medium"/>
      <top/>
      <bottom style="medium"/>
      <diagonal/>
    </border>
    <border>
      <left style="thin"/>
      <right/>
      <top/>
      <bottom style="medium"/>
      <diagonal/>
    </border>
    <border>
      <left style="thin"/>
      <right style="thin"/>
      <top/>
      <bottom style="medium"/>
      <diagonal/>
    </border>
    <border>
      <left style="medium"/>
      <right/>
      <top/>
      <bottom style="medium"/>
      <diagonal/>
    </border>
  </borders>
  <cellStyleXfs count="21">
    <xf numFmtId="0" fontId="0" fillId="0" borderId="0" applyAlignment="1">
      <alignment horizontal="general" vertical="bottom"/>
    </xf>
    <xf numFmtId="184" fontId="0" fillId="0" borderId="0"/>
    <xf numFmtId="41" fontId="3" fillId="0" borderId="0"/>
    <xf numFmtId="173" fontId="0" fillId="0" borderId="0"/>
    <xf numFmtId="42" fontId="3" fillId="0" borderId="0"/>
    <xf numFmtId="9" fontId="0" fillId="0" borderId="0"/>
    <xf numFmtId="173" fontId="0" fillId="0" borderId="0"/>
    <xf numFmtId="173" fontId="0" fillId="0" borderId="0"/>
    <xf numFmtId="173" fontId="0" fillId="0" borderId="0"/>
    <xf numFmtId="0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9" fontId="0" fillId="0" borderId="0"/>
    <xf numFmtId="9" fontId="0" fillId="0" borderId="0"/>
    <xf numFmtId="9" fontId="0" fillId="0" borderId="0"/>
    <xf numFmtId="184" fontId="0" fillId="0" borderId="0"/>
    <xf numFmtId="184" fontId="0" fillId="0" borderId="0"/>
    <xf numFmtId="184" fontId="0" fillId="0" borderId="0"/>
    <xf numFmtId="0" fontId="5" fillId="0" borderId="0"/>
    <xf numFmtId="0" fontId="6" fillId="0" borderId="1"/>
  </cellStyleXfs>
  <cellXfs count="679"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center" vertical="bottom"/>
    </xf>
    <xf numFmtId="0" fontId="8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general" vertical="bottom"/>
    </xf>
    <xf numFmtId="0" fontId="9" fillId="0" borderId="2" applyAlignment="1" applyProtection="1" pivotButton="0" quotePrefix="0" xfId="0">
      <alignment horizontal="center" vertical="center"/>
      <protection locked="0" hidden="0"/>
    </xf>
    <xf numFmtId="164" fontId="10" fillId="0" borderId="2" applyAlignment="1" applyProtection="1" pivotButton="0" quotePrefix="0" xfId="0">
      <alignment horizontal="center" vertical="center"/>
      <protection locked="0" hidden="0"/>
    </xf>
    <xf numFmtId="49" fontId="11" fillId="2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5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0" fontId="7" fillId="0" borderId="7" applyAlignment="1" pivotButton="0" quotePrefix="0" xfId="0">
      <alignment horizontal="general" vertical="bottom"/>
    </xf>
    <xf numFmtId="0" fontId="7" fillId="0" borderId="8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bottom"/>
    </xf>
    <xf numFmtId="0" fontId="7" fillId="0" borderId="9" applyAlignment="1" pivotButton="0" quotePrefix="0" xfId="0">
      <alignment horizontal="general" vertical="bottom"/>
    </xf>
    <xf numFmtId="0" fontId="7" fillId="0" borderId="10" applyAlignment="1" pivotButton="0" quotePrefix="0" xfId="0">
      <alignment horizontal="general" vertical="bottom"/>
    </xf>
    <xf numFmtId="0" fontId="7" fillId="0" borderId="11" applyAlignment="1" pivotButton="0" quotePrefix="0" xfId="0">
      <alignment horizontal="general" vertical="bottom"/>
    </xf>
    <xf numFmtId="0" fontId="7" fillId="0" borderId="12" applyAlignment="1" pivotButton="0" quotePrefix="0" xfId="0">
      <alignment horizontal="general" vertical="bottom"/>
    </xf>
    <xf numFmtId="0" fontId="7" fillId="0" borderId="2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general" vertical="bottom"/>
    </xf>
    <xf numFmtId="49" fontId="11" fillId="2" borderId="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bottom"/>
    </xf>
    <xf numFmtId="0" fontId="12" fillId="0" borderId="9" applyAlignment="1" pivotButton="0" quotePrefix="0" xfId="0">
      <alignment horizontal="left" vertical="bottom"/>
    </xf>
    <xf numFmtId="0" fontId="12" fillId="0" borderId="6" applyAlignment="1" pivotButton="0" quotePrefix="0" xfId="0">
      <alignment horizontal="general" vertical="bottom"/>
    </xf>
    <xf numFmtId="0" fontId="12" fillId="0" borderId="8" applyAlignment="1" pivotButton="0" quotePrefix="0" xfId="0">
      <alignment horizontal="right" vertical="bottom"/>
    </xf>
    <xf numFmtId="0" fontId="7" fillId="0" borderId="12" applyAlignment="1" applyProtection="1" pivotButton="0" quotePrefix="0" xfId="0">
      <alignment horizontal="center" vertical="bottom"/>
      <protection locked="0" hidden="0"/>
    </xf>
    <xf numFmtId="0" fontId="12" fillId="0" borderId="13" applyAlignment="1" pivotButton="0" quotePrefix="0" xfId="0">
      <alignment horizontal="center" vertical="bottom"/>
    </xf>
    <xf numFmtId="0" fontId="12" fillId="0" borderId="11" applyAlignment="1" pivotButton="0" quotePrefix="0" xfId="0">
      <alignment horizontal="left" vertical="bottom"/>
    </xf>
    <xf numFmtId="0" fontId="7" fillId="0" borderId="12" applyAlignment="1" applyProtection="1" pivotButton="0" quotePrefix="0" xfId="0">
      <alignment horizontal="general" vertical="bottom"/>
      <protection locked="0" hidden="0"/>
    </xf>
    <xf numFmtId="0" fontId="7" fillId="0" borderId="13" applyAlignment="1" pivotButton="0" quotePrefix="0" xfId="0">
      <alignment horizontal="center" vertical="bottom"/>
    </xf>
    <xf numFmtId="0" fontId="13" fillId="0" borderId="3" applyAlignment="1" pivotButton="0" quotePrefix="0" xfId="0">
      <alignment horizontal="left" vertical="center"/>
    </xf>
    <xf numFmtId="9" fontId="12" fillId="0" borderId="10" applyAlignment="1" pivotButton="0" quotePrefix="0" xfId="0">
      <alignment horizontal="center" vertical="center" wrapText="1"/>
    </xf>
    <xf numFmtId="9" fontId="12" fillId="0" borderId="11" applyAlignment="1" pivotButton="0" quotePrefix="0" xfId="0">
      <alignment horizontal="center" vertical="center" wrapText="1"/>
    </xf>
    <xf numFmtId="9" fontId="12" fillId="0" borderId="11" applyAlignment="1" pivotButton="0" quotePrefix="0" xfId="0">
      <alignment horizontal="left" vertical="center" wrapText="1"/>
    </xf>
    <xf numFmtId="9" fontId="12" fillId="0" borderId="12" applyAlignment="1" pivotButton="0" quotePrefix="0" xfId="0">
      <alignment horizontal="center" vertical="center" wrapText="1"/>
    </xf>
    <xf numFmtId="49" fontId="12" fillId="3" borderId="4" applyAlignment="1" pivotButton="0" quotePrefix="0" xfId="0">
      <alignment horizontal="center" vertical="center" wrapText="1"/>
    </xf>
    <xf numFmtId="0" fontId="7" fillId="0" borderId="2" applyAlignment="1" applyProtection="1" pivotButton="0" quotePrefix="0" xfId="0">
      <alignment horizontal="justify" vertical="top" wrapText="1"/>
      <protection locked="0" hidden="0"/>
    </xf>
    <xf numFmtId="0" fontId="14" fillId="2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left" vertical="center" wrapText="1"/>
    </xf>
    <xf numFmtId="49" fontId="12" fillId="3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left" vertical="center"/>
    </xf>
    <xf numFmtId="49" fontId="7" fillId="4" borderId="1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15" fillId="0" borderId="6" applyAlignment="1" pivotButton="0" quotePrefix="0" xfId="0">
      <alignment horizontal="center" vertical="top"/>
    </xf>
    <xf numFmtId="0" fontId="16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center" vertical="bottom"/>
    </xf>
    <xf numFmtId="164" fontId="7" fillId="0" borderId="0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center" vertical="bottom"/>
    </xf>
    <xf numFmtId="0" fontId="0" fillId="0" borderId="0" applyAlignment="1" applyProtection="1" pivotButton="0" quotePrefix="0" xfId="0">
      <alignment horizontal="general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17" fillId="0" borderId="15" applyAlignment="1" applyProtection="1" pivotButton="0" quotePrefix="0" xfId="0">
      <alignment horizontal="center" vertical="center"/>
      <protection locked="0" hidden="0"/>
    </xf>
    <xf numFmtId="0" fontId="0" fillId="0" borderId="16" applyAlignment="1" applyProtection="1" pivotButton="0" quotePrefix="0" xfId="0">
      <alignment horizontal="center" vertical="center" wrapText="1"/>
      <protection locked="0" hidden="0"/>
    </xf>
    <xf numFmtId="0" fontId="18" fillId="0" borderId="17" applyAlignment="1" applyProtection="1" pivotButton="0" quotePrefix="0" xfId="0">
      <alignment horizontal="center" vertical="center"/>
      <protection locked="0" hidden="0"/>
    </xf>
    <xf numFmtId="0" fontId="0" fillId="0" borderId="17" applyAlignment="1" applyProtection="1" pivotButton="0" quotePrefix="0" xfId="0">
      <alignment horizontal="center" vertical="center"/>
      <protection locked="0" hidden="0"/>
    </xf>
    <xf numFmtId="49" fontId="19" fillId="0" borderId="17" applyAlignment="1" applyProtection="1" pivotButton="0" quotePrefix="0" xfId="0">
      <alignment horizontal="center" vertical="center"/>
      <protection locked="0" hidden="0"/>
    </xf>
    <xf numFmtId="49" fontId="20" fillId="0" borderId="17" applyAlignment="1" applyProtection="1" pivotButton="0" quotePrefix="0" xfId="0">
      <alignment horizontal="general" vertical="center" shrinkToFit="1"/>
      <protection locked="0" hidden="0"/>
    </xf>
    <xf numFmtId="0" fontId="18" fillId="0" borderId="18" applyAlignment="1" applyProtection="1" pivotButton="0" quotePrefix="0" xfId="0">
      <alignment horizontal="center" vertical="center" shrinkToFit="1"/>
      <protection locked="0" hidden="0"/>
    </xf>
    <xf numFmtId="0" fontId="21" fillId="0" borderId="19" applyAlignment="1" applyProtection="1" pivotButton="0" quotePrefix="0" xfId="0">
      <alignment horizontal="center" vertical="center"/>
      <protection locked="0" hidden="0"/>
    </xf>
    <xf numFmtId="0" fontId="22" fillId="2" borderId="20" applyAlignment="1" applyProtection="1" pivotButton="0" quotePrefix="0" xfId="0">
      <alignment horizontal="center" vertical="center" wrapText="1"/>
      <protection locked="0" hidden="0"/>
    </xf>
    <xf numFmtId="0" fontId="22" fillId="2" borderId="13" applyAlignment="1" applyProtection="1" pivotButton="0" quotePrefix="0" xfId="0">
      <alignment horizontal="center" vertical="center" wrapText="1"/>
      <protection locked="0" hidden="0"/>
    </xf>
    <xf numFmtId="0" fontId="22" fillId="2" borderId="8" applyAlignment="1" applyProtection="1" pivotButton="0" quotePrefix="0" xfId="0">
      <alignment horizontal="center" vertical="center" wrapText="1"/>
      <protection locked="0" hidden="0"/>
    </xf>
    <xf numFmtId="0" fontId="22" fillId="2" borderId="2" applyAlignment="1" applyProtection="1" pivotButton="0" quotePrefix="0" xfId="0">
      <alignment horizontal="center" vertical="center" wrapText="1"/>
      <protection locked="0" hidden="0"/>
    </xf>
    <xf numFmtId="0" fontId="22" fillId="2" borderId="21" applyAlignment="1" applyProtection="1" pivotButton="0" quotePrefix="0" xfId="0">
      <alignment horizontal="center" vertical="center" wrapText="1"/>
      <protection locked="0" hidden="0"/>
    </xf>
    <xf numFmtId="0" fontId="23" fillId="0" borderId="22" applyAlignment="1" applyProtection="1" pivotButton="0" quotePrefix="0" xfId="0">
      <alignment horizontal="center" vertical="center" shrinkToFit="1"/>
      <protection locked="0" hidden="0"/>
    </xf>
    <xf numFmtId="0" fontId="23" fillId="0" borderId="2" applyAlignment="1" applyProtection="1" pivotButton="0" quotePrefix="0" xfId="0">
      <alignment horizontal="center" vertical="center" shrinkToFit="1"/>
      <protection locked="0" hidden="0"/>
    </xf>
    <xf numFmtId="166" fontId="23" fillId="0" borderId="4" applyAlignment="1" applyProtection="1" pivotButton="0" quotePrefix="0" xfId="17">
      <alignment horizontal="center" vertical="center" shrinkToFit="1"/>
      <protection locked="0" hidden="0"/>
    </xf>
    <xf numFmtId="49" fontId="23" fillId="0" borderId="2" applyAlignment="1" applyProtection="1" pivotButton="0" quotePrefix="0" xfId="17">
      <alignment horizontal="center" vertical="center" shrinkToFit="1"/>
      <protection locked="0" hidden="0"/>
    </xf>
    <xf numFmtId="167" fontId="23" fillId="0" borderId="2" applyAlignment="1" applyProtection="1" pivotButton="0" quotePrefix="0" xfId="17">
      <alignment horizontal="center" vertical="center" shrinkToFit="1"/>
      <protection locked="0" hidden="0"/>
    </xf>
    <xf numFmtId="168" fontId="24" fillId="0" borderId="2" applyAlignment="1" pivotButton="0" quotePrefix="0" xfId="17">
      <alignment horizontal="center" vertical="center"/>
    </xf>
    <xf numFmtId="168" fontId="25" fillId="0" borderId="23" applyAlignment="1" pivotButton="0" quotePrefix="0" xfId="17">
      <alignment horizontal="center" vertical="center"/>
    </xf>
    <xf numFmtId="0" fontId="25" fillId="0" borderId="0" applyAlignment="1" applyProtection="1" pivotButton="0" quotePrefix="0" xfId="0">
      <alignment horizontal="general" vertical="center"/>
      <protection locked="0" hidden="0"/>
    </xf>
    <xf numFmtId="0" fontId="25" fillId="0" borderId="0" applyAlignment="1" applyProtection="1" pivotButton="0" quotePrefix="0" xfId="0">
      <alignment horizontal="center" vertical="center"/>
      <protection locked="0" hidden="0"/>
    </xf>
    <xf numFmtId="167" fontId="23" fillId="0" borderId="4" applyAlignment="1" applyProtection="1" pivotButton="0" quotePrefix="0" xfId="17">
      <alignment horizontal="center" vertical="center" shrinkToFit="1"/>
      <protection locked="0" hidden="0"/>
    </xf>
    <xf numFmtId="168" fontId="25" fillId="0" borderId="2" applyAlignment="1" pivotButton="0" quotePrefix="0" xfId="17">
      <alignment horizontal="center" vertical="center"/>
    </xf>
    <xf numFmtId="0" fontId="0" fillId="0" borderId="24" applyAlignment="1" applyProtection="1" pivotButton="0" quotePrefix="0" xfId="0">
      <alignment horizontal="left" vertical="center"/>
      <protection locked="0" hidden="0"/>
    </xf>
    <xf numFmtId="169" fontId="26" fillId="0" borderId="25" applyAlignment="1" pivotButton="0" quotePrefix="0" xfId="17">
      <alignment horizontal="general" vertical="center"/>
    </xf>
    <xf numFmtId="0" fontId="0" fillId="0" borderId="26" applyAlignment="1" applyProtection="1" pivotButton="0" quotePrefix="0" xfId="0">
      <alignment horizontal="center" vertical="center"/>
      <protection locked="0" hidden="0"/>
    </xf>
    <xf numFmtId="0" fontId="21" fillId="0" borderId="27" applyAlignment="1" applyProtection="1" pivotButton="0" quotePrefix="0" xfId="0">
      <alignment horizontal="center" vertical="center"/>
      <protection locked="0" hidden="0"/>
    </xf>
    <xf numFmtId="0" fontId="22" fillId="2" borderId="3" applyAlignment="1" applyProtection="1" pivotButton="0" quotePrefix="0" xfId="0">
      <alignment horizontal="center" vertical="center" wrapText="1"/>
      <protection locked="0" hidden="0"/>
    </xf>
    <xf numFmtId="0" fontId="22" fillId="2" borderId="7" applyAlignment="1" applyProtection="1" pivotButton="0" quotePrefix="0" xfId="0">
      <alignment horizontal="center" vertical="center" wrapText="1"/>
      <protection locked="0" hidden="0"/>
    </xf>
    <xf numFmtId="0" fontId="22" fillId="2" borderId="4" applyAlignment="1" applyProtection="1" pivotButton="0" quotePrefix="0" xfId="0">
      <alignment horizontal="center" vertical="center" wrapText="1"/>
      <protection locked="0" hidden="0"/>
    </xf>
    <xf numFmtId="0" fontId="23" fillId="0" borderId="2" applyAlignment="1" applyProtection="1" pivotButton="0" quotePrefix="0" xfId="0">
      <alignment horizontal="center" vertical="center"/>
      <protection locked="0" hidden="0"/>
    </xf>
    <xf numFmtId="0" fontId="23" fillId="0" borderId="2" applyAlignment="1" applyProtection="1" pivotButton="0" quotePrefix="0" xfId="0">
      <alignment horizontal="center" vertical="center" shrinkToFit="1"/>
      <protection locked="0" hidden="0"/>
    </xf>
    <xf numFmtId="170" fontId="23" fillId="0" borderId="2" applyAlignment="1" applyProtection="1" pivotButton="0" quotePrefix="0" xfId="0">
      <alignment horizontal="center" vertical="center"/>
      <protection locked="0" hidden="0"/>
    </xf>
    <xf numFmtId="0" fontId="23" fillId="0" borderId="4" applyAlignment="1" applyProtection="1" pivotButton="0" quotePrefix="0" xfId="0">
      <alignment horizontal="center" vertical="center"/>
      <protection locked="0" hidden="0"/>
    </xf>
    <xf numFmtId="0" fontId="23" fillId="0" borderId="2" applyAlignment="1" applyProtection="1" pivotButton="0" quotePrefix="0" xfId="0">
      <alignment horizontal="general" vertical="center" shrinkToFit="1"/>
      <protection locked="0" hidden="0"/>
    </xf>
    <xf numFmtId="169" fontId="23" fillId="0" borderId="23" applyAlignment="1" applyProtection="1" pivotButton="0" quotePrefix="0" xfId="0">
      <alignment horizontal="center" vertical="center"/>
      <protection locked="0" hidden="0"/>
    </xf>
    <xf numFmtId="0" fontId="22" fillId="2" borderId="22" applyAlignment="1" applyProtection="1" pivotButton="0" quotePrefix="0" xfId="0">
      <alignment horizontal="center" vertical="center" wrapText="1"/>
      <protection locked="0" hidden="0"/>
    </xf>
    <xf numFmtId="0" fontId="22" fillId="2" borderId="28" applyAlignment="1" applyProtection="1" pivotButton="0" quotePrefix="0" xfId="0">
      <alignment horizontal="center" vertical="center" wrapText="1"/>
      <protection locked="0" hidden="0"/>
    </xf>
    <xf numFmtId="0" fontId="22" fillId="2" borderId="23" applyAlignment="1" applyProtection="1" pivotButton="0" quotePrefix="0" xfId="0">
      <alignment horizontal="center" vertical="center" wrapText="1"/>
      <protection locked="0" hidden="0"/>
    </xf>
    <xf numFmtId="0" fontId="23" fillId="0" borderId="4" applyAlignment="1" applyProtection="1" pivotButton="0" quotePrefix="0" xfId="0">
      <alignment horizontal="center" vertical="center" shrinkToFit="1"/>
      <protection locked="0" hidden="0"/>
    </xf>
    <xf numFmtId="0" fontId="23" fillId="0" borderId="2" applyAlignment="1" pivotButton="0" quotePrefix="0" xfId="0">
      <alignment horizontal="center" vertical="center" shrinkToFit="1"/>
    </xf>
    <xf numFmtId="0" fontId="28" fillId="0" borderId="28" applyAlignment="1" applyProtection="1" pivotButton="0" quotePrefix="0" xfId="0">
      <alignment horizontal="center" vertical="center" shrinkToFit="1"/>
      <protection locked="0" hidden="0"/>
    </xf>
    <xf numFmtId="171" fontId="23" fillId="0" borderId="2" applyAlignment="1" applyProtection="1" pivotButton="0" quotePrefix="0" xfId="0">
      <alignment horizontal="center" vertical="center"/>
      <protection locked="0" hidden="0"/>
    </xf>
    <xf numFmtId="171" fontId="23" fillId="0" borderId="23" applyAlignment="1" applyProtection="1" pivotButton="0" quotePrefix="0" xfId="0">
      <alignment horizontal="center" vertical="center"/>
      <protection locked="0" hidden="0"/>
    </xf>
    <xf numFmtId="0" fontId="23" fillId="0" borderId="28" applyAlignment="1" applyProtection="1" pivotButton="0" quotePrefix="0" xfId="0">
      <alignment horizontal="center" vertical="center" shrinkToFit="1"/>
      <protection locked="0" hidden="0"/>
    </xf>
    <xf numFmtId="0" fontId="25" fillId="0" borderId="0" applyAlignment="1" pivotButton="0" quotePrefix="0" xfId="0">
      <alignment horizontal="general" vertical="center"/>
    </xf>
    <xf numFmtId="0" fontId="23" fillId="0" borderId="22" applyAlignment="1" applyProtection="1" pivotButton="0" quotePrefix="0" xfId="0">
      <alignment horizontal="center" vertical="center"/>
      <protection locked="0" hidden="0"/>
    </xf>
    <xf numFmtId="0" fontId="0" fillId="0" borderId="29" applyAlignment="1" applyProtection="1" pivotButton="0" quotePrefix="0" xfId="0">
      <alignment horizontal="left" vertical="center"/>
      <protection locked="0" hidden="0"/>
    </xf>
    <xf numFmtId="172" fontId="26" fillId="0" borderId="30" applyAlignment="1" pivotButton="0" quotePrefix="0" xfId="17">
      <alignment horizontal="general" vertical="center"/>
    </xf>
    <xf numFmtId="172" fontId="26" fillId="0" borderId="25" applyAlignment="1" pivotButton="0" quotePrefix="0" xfId="17">
      <alignment horizontal="general" vertical="center"/>
    </xf>
    <xf numFmtId="0" fontId="0" fillId="0" borderId="19" applyAlignment="1" applyProtection="1" pivotButton="0" quotePrefix="0" xfId="0">
      <alignment horizontal="center" vertical="center"/>
      <protection locked="0" hidden="0"/>
    </xf>
    <xf numFmtId="0" fontId="8" fillId="5" borderId="22" applyAlignment="1" applyProtection="1" pivotButton="0" quotePrefix="0" xfId="0">
      <alignment horizontal="right" vertical="center"/>
      <protection locked="0" hidden="0"/>
    </xf>
    <xf numFmtId="0" fontId="8" fillId="5" borderId="14" applyAlignment="1" applyProtection="1" pivotButton="0" quotePrefix="0" xfId="0">
      <alignment horizontal="right" vertical="center"/>
      <protection locked="0" hidden="0"/>
    </xf>
    <xf numFmtId="171" fontId="29" fillId="5" borderId="23" applyAlignment="1" pivotButton="0" quotePrefix="0" xfId="0">
      <alignment horizontal="center" vertical="center" shrinkToFit="1"/>
    </xf>
    <xf numFmtId="0" fontId="0" fillId="0" borderId="31" applyAlignment="1" applyProtection="1" pivotButton="0" quotePrefix="0" xfId="0">
      <alignment horizontal="right" vertical="center"/>
      <protection locked="0" hidden="0"/>
    </xf>
    <xf numFmtId="0" fontId="21" fillId="0" borderId="15" applyAlignment="1" applyProtection="1" pivotButton="0" quotePrefix="0" xfId="0">
      <alignment horizontal="center" vertical="center"/>
      <protection locked="0" hidden="0"/>
    </xf>
    <xf numFmtId="0" fontId="22" fillId="2" borderId="32" applyAlignment="1" applyProtection="1" pivotButton="0" quotePrefix="0" xfId="0">
      <alignment horizontal="center" vertical="center" wrapText="1"/>
      <protection locked="0" hidden="0"/>
    </xf>
    <xf numFmtId="0" fontId="22" fillId="2" borderId="33" applyAlignment="1" applyProtection="1" pivotButton="0" quotePrefix="0" xfId="0">
      <alignment horizontal="center" vertical="center" wrapText="1"/>
      <protection locked="0" hidden="0"/>
    </xf>
    <xf numFmtId="0" fontId="22" fillId="2" borderId="33" applyAlignment="1" applyProtection="1" pivotButton="0" quotePrefix="0" xfId="0">
      <alignment horizontal="center" vertical="center"/>
      <protection locked="0" hidden="0"/>
    </xf>
    <xf numFmtId="0" fontId="22" fillId="2" borderId="34" applyAlignment="1" applyProtection="1" pivotButton="0" quotePrefix="0" xfId="0">
      <alignment horizontal="center" vertical="center" wrapText="1"/>
      <protection locked="0" hidden="0"/>
    </xf>
    <xf numFmtId="0" fontId="22" fillId="2" borderId="2" applyAlignment="1" applyProtection="1" pivotButton="0" quotePrefix="0" xfId="0">
      <alignment horizontal="center" vertical="center"/>
      <protection locked="0" hidden="0"/>
    </xf>
    <xf numFmtId="168" fontId="23" fillId="0" borderId="2" applyAlignment="1" applyProtection="1" pivotButton="0" quotePrefix="0" xfId="0">
      <alignment horizontal="center" vertical="center" shrinkToFit="1"/>
      <protection locked="0" hidden="0"/>
    </xf>
    <xf numFmtId="0" fontId="23" fillId="0" borderId="23" applyAlignment="1" applyProtection="1" pivotButton="0" quotePrefix="0" xfId="0">
      <alignment horizontal="center" vertical="center" wrapText="1" shrinkToFit="1"/>
      <protection locked="0" hidden="0"/>
    </xf>
    <xf numFmtId="0" fontId="25" fillId="0" borderId="2" applyAlignment="1" applyProtection="1" pivotButton="0" quotePrefix="0" xfId="0">
      <alignment horizontal="center" vertical="center"/>
      <protection locked="0" hidden="0"/>
    </xf>
    <xf numFmtId="0" fontId="0" fillId="0" borderId="30" applyAlignment="1" applyProtection="1" pivotButton="0" quotePrefix="0" xfId="0">
      <alignment horizontal="left" vertical="center"/>
      <protection locked="0" hidden="0"/>
    </xf>
    <xf numFmtId="0" fontId="8" fillId="0" borderId="32" applyAlignment="1" applyProtection="1" pivotButton="0" quotePrefix="0" xfId="0">
      <alignment horizontal="center" vertical="center"/>
      <protection locked="0" hidden="0"/>
    </xf>
    <xf numFmtId="0" fontId="30" fillId="0" borderId="34" applyAlignment="1" applyProtection="1" pivotButton="0" quotePrefix="0" xfId="0">
      <alignment horizontal="center" vertical="center"/>
      <protection locked="0" hidden="0"/>
    </xf>
    <xf numFmtId="0" fontId="0" fillId="0" borderId="22" applyAlignment="1" applyProtection="1" pivotButton="0" quotePrefix="0" xfId="0">
      <alignment horizontal="center" vertical="center" wrapText="1"/>
      <protection locked="0" hidden="0"/>
    </xf>
    <xf numFmtId="0" fontId="0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2" applyAlignment="1" applyProtection="1" pivotButton="0" quotePrefix="0" xfId="0">
      <alignment horizontal="center" vertical="center" shrinkToFit="1"/>
      <protection locked="0" hidden="0"/>
    </xf>
    <xf numFmtId="0" fontId="0" fillId="0" borderId="2" applyAlignment="1" applyProtection="1" pivotButton="0" quotePrefix="0" xfId="0">
      <alignment horizontal="center" vertical="center"/>
      <protection locked="0" hidden="0"/>
    </xf>
    <xf numFmtId="0" fontId="0" fillId="0" borderId="2" applyAlignment="1" applyProtection="1" pivotButton="0" quotePrefix="0" xfId="0">
      <alignment horizontal="center" vertical="center"/>
      <protection locked="0" hidden="0"/>
    </xf>
    <xf numFmtId="0" fontId="0" fillId="0" borderId="4" applyAlignment="1" applyProtection="1" pivotButton="0" quotePrefix="0" xfId="0">
      <alignment horizontal="center" vertical="center" wrapText="1"/>
      <protection locked="0" hidden="0"/>
    </xf>
    <xf numFmtId="0" fontId="0" fillId="0" borderId="23" applyAlignment="1" applyProtection="1" pivotButton="0" quotePrefix="0" xfId="0">
      <alignment horizontal="center" vertical="center" wrapText="1"/>
      <protection locked="0" hidden="0"/>
    </xf>
    <xf numFmtId="0" fontId="19" fillId="0" borderId="22" applyAlignment="1" applyProtection="1" pivotButton="0" quotePrefix="0" xfId="0">
      <alignment horizontal="general" vertical="center"/>
      <protection locked="0" hidden="0"/>
    </xf>
    <xf numFmtId="0" fontId="19" fillId="0" borderId="2" applyAlignment="1" applyProtection="1" pivotButton="0" quotePrefix="0" xfId="0">
      <alignment horizontal="center" vertical="center"/>
      <protection locked="0" hidden="0"/>
    </xf>
    <xf numFmtId="0" fontId="19" fillId="0" borderId="2" applyAlignment="1" applyProtection="1" pivotButton="0" quotePrefix="0" xfId="0">
      <alignment horizontal="general" vertical="center"/>
      <protection locked="0" hidden="0"/>
    </xf>
    <xf numFmtId="0" fontId="19" fillId="0" borderId="4" applyAlignment="1" applyProtection="1" pivotButton="0" quotePrefix="0" xfId="0">
      <alignment horizontal="general" vertical="center"/>
      <protection locked="0" hidden="0"/>
    </xf>
    <xf numFmtId="0" fontId="19" fillId="0" borderId="23" applyAlignment="1" applyProtection="1" pivotButton="0" quotePrefix="0" xfId="0">
      <alignment horizontal="general" vertical="center"/>
      <protection locked="0" hidden="0"/>
    </xf>
    <xf numFmtId="0" fontId="0" fillId="0" borderId="35" applyAlignment="1" applyProtection="1" pivotButton="0" quotePrefix="0" xfId="0">
      <alignment horizontal="center" vertical="center"/>
      <protection locked="0" hidden="0"/>
    </xf>
    <xf numFmtId="0" fontId="8" fillId="0" borderId="20" applyAlignment="1" applyProtection="1" pivotButton="0" quotePrefix="0" xfId="0">
      <alignment horizontal="center" vertical="center"/>
      <protection locked="0" hidden="0"/>
    </xf>
    <xf numFmtId="0" fontId="30" fillId="0" borderId="21" applyAlignment="1" applyProtection="1" pivotButton="0" quotePrefix="0" xfId="0">
      <alignment horizontal="center" vertical="center"/>
      <protection locked="0" hidden="0"/>
    </xf>
    <xf numFmtId="0" fontId="31" fillId="0" borderId="22" applyAlignment="1" applyProtection="1" pivotButton="0" quotePrefix="0" xfId="0">
      <alignment horizontal="center" vertical="center"/>
      <protection locked="0" hidden="0"/>
    </xf>
    <xf numFmtId="0" fontId="19" fillId="0" borderId="4" applyAlignment="1" applyProtection="1" pivotButton="0" quotePrefix="0" xfId="0">
      <alignment horizontal="center" vertical="center"/>
      <protection locked="0" hidden="0"/>
    </xf>
    <xf numFmtId="173" fontId="19" fillId="0" borderId="23" applyAlignment="1" applyProtection="1" pivotButton="0" quotePrefix="0" xfId="17">
      <alignment horizontal="general" vertical="center"/>
      <protection locked="0" hidden="0"/>
    </xf>
    <xf numFmtId="0" fontId="0" fillId="0" borderId="36" applyAlignment="1" applyProtection="1" pivotButton="0" quotePrefix="0" xfId="0">
      <alignment horizontal="left" vertical="center"/>
      <protection locked="0" hidden="0"/>
    </xf>
    <xf numFmtId="173" fontId="0" fillId="0" borderId="25" applyAlignment="1" applyProtection="1" pivotButton="0" quotePrefix="0" xfId="17">
      <alignment horizontal="general" vertical="center"/>
      <protection locked="0" hidden="0"/>
    </xf>
    <xf numFmtId="0" fontId="8" fillId="0" borderId="37" applyAlignment="1" applyProtection="1" pivotButton="0" quotePrefix="0" xfId="0">
      <alignment horizontal="center" vertical="center"/>
      <protection locked="0" hidden="0"/>
    </xf>
    <xf numFmtId="0" fontId="18" fillId="0" borderId="19" applyAlignment="1" applyProtection="1" pivotButton="0" quotePrefix="0" xfId="0">
      <alignment horizontal="center" vertical="center" wrapText="1"/>
      <protection locked="0" hidden="0"/>
    </xf>
    <xf numFmtId="0" fontId="13" fillId="0" borderId="35" applyAlignment="1" applyProtection="1" pivotButton="0" quotePrefix="0" xfId="0">
      <alignment horizontal="center" vertical="center" wrapText="1"/>
      <protection locked="0" hidden="0"/>
    </xf>
    <xf numFmtId="174" fontId="23" fillId="0" borderId="4" applyAlignment="1" applyProtection="1" pivotButton="0" quotePrefix="0" xfId="17">
      <alignment horizontal="center" vertical="center" shrinkToFit="1"/>
      <protection locked="0" hidden="0"/>
    </xf>
    <xf numFmtId="0" fontId="13" fillId="0" borderId="19" applyAlignment="1" applyProtection="1" pivotButton="0" quotePrefix="0" xfId="0">
      <alignment horizontal="center" vertical="center" wrapText="1"/>
      <protection locked="0" hidden="0"/>
    </xf>
    <xf numFmtId="1" fontId="23" fillId="0" borderId="22" applyAlignment="1" applyProtection="1" pivotButton="0" quotePrefix="0" xfId="0">
      <alignment horizontal="center" vertical="center" shrinkToFit="1"/>
      <protection locked="0" hidden="0"/>
    </xf>
    <xf numFmtId="0" fontId="23" fillId="0" borderId="4" applyAlignment="1" applyProtection="1" pivotButton="0" quotePrefix="0" xfId="0">
      <alignment horizontal="general" vertical="center" shrinkToFit="1"/>
      <protection locked="0" hidden="0"/>
    </xf>
    <xf numFmtId="0" fontId="22" fillId="2" borderId="38" applyAlignment="1" applyProtection="1" pivotButton="0" quotePrefix="0" xfId="0">
      <alignment horizontal="center" vertical="center" wrapText="1"/>
      <protection locked="0" hidden="0"/>
    </xf>
    <xf numFmtId="0" fontId="23" fillId="0" borderId="38" applyAlignment="1" applyProtection="1" pivotButton="0" quotePrefix="0" xfId="0">
      <alignment horizontal="center" vertical="center" shrinkToFit="1"/>
      <protection locked="0" hidden="0"/>
    </xf>
    <xf numFmtId="0" fontId="23" fillId="0" borderId="38" applyAlignment="1" applyProtection="1" pivotButton="0" quotePrefix="0" xfId="0">
      <alignment horizontal="center" vertical="center"/>
      <protection locked="0" hidden="0"/>
    </xf>
    <xf numFmtId="0" fontId="0" fillId="0" borderId="32" applyAlignment="1" applyProtection="1" pivotButton="0" quotePrefix="0" xfId="0">
      <alignment horizontal="center" vertical="center"/>
      <protection locked="0" hidden="0"/>
    </xf>
    <xf numFmtId="0" fontId="32" fillId="0" borderId="33" applyAlignment="1" applyProtection="1" pivotButton="0" quotePrefix="0" xfId="0">
      <alignment horizontal="center" vertical="center"/>
      <protection locked="0" hidden="0"/>
    </xf>
    <xf numFmtId="2" fontId="0" fillId="0" borderId="33" applyAlignment="1" applyProtection="1" pivotButton="0" quotePrefix="0" xfId="0">
      <alignment horizontal="center" vertical="center" wrapText="1"/>
      <protection locked="0" hidden="0"/>
    </xf>
    <xf numFmtId="2" fontId="33" fillId="0" borderId="33" applyAlignment="1" applyProtection="1" pivotButton="0" quotePrefix="0" xfId="0">
      <alignment horizontal="center" vertical="center" wrapText="1"/>
      <protection locked="0" hidden="0"/>
    </xf>
    <xf numFmtId="0" fontId="0" fillId="0" borderId="33" applyAlignment="1" applyProtection="1" pivotButton="0" quotePrefix="0" xfId="0">
      <alignment horizontal="general" vertical="center"/>
      <protection locked="0" hidden="0"/>
    </xf>
    <xf numFmtId="0" fontId="0" fillId="0" borderId="33" applyAlignment="1" applyProtection="1" pivotButton="0" quotePrefix="0" xfId="0">
      <alignment horizontal="center" vertical="center"/>
      <protection locked="0" hidden="0"/>
    </xf>
    <xf numFmtId="0" fontId="0" fillId="0" borderId="22" applyAlignment="1" applyProtection="1" pivotButton="0" quotePrefix="0" xfId="0">
      <alignment horizontal="left" vertical="center"/>
      <protection locked="0" hidden="0"/>
    </xf>
    <xf numFmtId="0" fontId="18" fillId="0" borderId="2" applyAlignment="1" pivotButton="0" quotePrefix="0" xfId="0">
      <alignment horizontal="center" vertical="center"/>
    </xf>
    <xf numFmtId="0" fontId="0" fillId="0" borderId="2" applyAlignment="1" applyProtection="1" pivotButton="0" quotePrefix="0" xfId="0">
      <alignment horizontal="general" vertical="center"/>
      <protection locked="0" hidden="0"/>
    </xf>
    <xf numFmtId="0" fontId="34" fillId="0" borderId="2" applyAlignment="1" applyProtection="1" pivotButton="0" quotePrefix="0" xfId="0">
      <alignment horizontal="general" vertical="center" shrinkToFit="1"/>
      <protection locked="0" hidden="0"/>
    </xf>
    <xf numFmtId="49" fontId="34" fillId="0" borderId="2" applyAlignment="1" pivotButton="0" quotePrefix="0" xfId="0">
      <alignment horizontal="center" vertical="center" shrinkToFit="1"/>
    </xf>
    <xf numFmtId="0" fontId="34" fillId="0" borderId="2" applyAlignment="1" pivotButton="0" quotePrefix="0" xfId="0">
      <alignment horizontal="center" vertical="center" shrinkToFit="1"/>
    </xf>
    <xf numFmtId="0" fontId="0" fillId="0" borderId="22" applyAlignment="1" applyProtection="1" pivotButton="0" quotePrefix="0" xfId="0">
      <alignment horizontal="left" vertical="center" wrapText="1"/>
      <protection locked="0" hidden="0"/>
    </xf>
    <xf numFmtId="49" fontId="18" fillId="0" borderId="2" applyAlignment="1" pivotButton="0" quotePrefix="0" xfId="0">
      <alignment horizontal="center" vertical="center" wrapText="1"/>
    </xf>
    <xf numFmtId="0" fontId="0" fillId="0" borderId="2" applyAlignment="1" applyProtection="1" pivotButton="0" quotePrefix="0" xfId="0">
      <alignment horizontal="left" vertical="center" wrapText="1"/>
      <protection locked="0" hidden="0"/>
    </xf>
    <xf numFmtId="0" fontId="18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4" fillId="0" borderId="2" applyAlignment="1" applyProtection="1" pivotButton="0" quotePrefix="0" xfId="0">
      <alignment horizontal="center" vertical="center"/>
      <protection locked="0" hidden="0"/>
    </xf>
    <xf numFmtId="0" fontId="30" fillId="0" borderId="2" applyAlignment="1" applyProtection="1" pivotButton="0" quotePrefix="0" xfId="0">
      <alignment horizontal="left" vertical="center"/>
      <protection locked="0" hidden="0"/>
    </xf>
    <xf numFmtId="0" fontId="30" fillId="0" borderId="2" applyAlignment="1" applyProtection="1" pivotButton="0" quotePrefix="0" xfId="0">
      <alignment horizontal="center" vertical="center"/>
      <protection locked="0" hidden="0"/>
    </xf>
    <xf numFmtId="0" fontId="0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39" applyAlignment="1" applyProtection="1" pivotButton="0" quotePrefix="0" xfId="0">
      <alignment horizontal="center" vertical="center"/>
      <protection locked="0" hidden="0"/>
    </xf>
    <xf numFmtId="0" fontId="0" fillId="0" borderId="40" applyAlignment="1" applyProtection="1" pivotButton="0" quotePrefix="0" xfId="0">
      <alignment horizontal="general" vertical="center"/>
      <protection locked="0" hidden="0"/>
    </xf>
    <xf numFmtId="0" fontId="0" fillId="0" borderId="40" applyAlignment="1" applyProtection="1" pivotButton="0" quotePrefix="0" xfId="0">
      <alignment horizontal="center" vertical="center"/>
      <protection locked="0" hidden="0"/>
    </xf>
    <xf numFmtId="0" fontId="21" fillId="0" borderId="41" applyAlignment="1" applyProtection="1" pivotButton="0" quotePrefix="0" xfId="0">
      <alignment horizontal="center" vertical="center"/>
      <protection locked="0" hidden="0"/>
    </xf>
    <xf numFmtId="0" fontId="0" fillId="0" borderId="42" applyAlignment="1" applyProtection="1" pivotButton="0" quotePrefix="0" xfId="0">
      <alignment horizontal="general" vertical="center"/>
      <protection locked="0" hidden="0"/>
    </xf>
    <xf numFmtId="0" fontId="22" fillId="0" borderId="32" applyAlignment="1" applyProtection="1" pivotButton="0" quotePrefix="0" xfId="0">
      <alignment horizontal="center" vertical="center" wrapText="1"/>
      <protection locked="0" hidden="0"/>
    </xf>
    <xf numFmtId="0" fontId="22" fillId="0" borderId="33" applyAlignment="1" applyProtection="1" pivotButton="0" quotePrefix="0" xfId="0">
      <alignment horizontal="center" vertical="center" wrapText="1"/>
      <protection locked="0" hidden="0"/>
    </xf>
    <xf numFmtId="0" fontId="0" fillId="0" borderId="34" applyAlignment="1" applyProtection="1" pivotButton="0" quotePrefix="0" xfId="0">
      <alignment horizontal="center" vertical="center" wrapText="1"/>
      <protection locked="0" hidden="0"/>
    </xf>
    <xf numFmtId="49" fontId="0" fillId="0" borderId="22" applyAlignment="1" applyProtection="1" pivotButton="0" quotePrefix="0" xfId="17">
      <alignment horizontal="center" vertical="center"/>
      <protection locked="0" hidden="0"/>
    </xf>
    <xf numFmtId="0" fontId="0" fillId="0" borderId="4" applyAlignment="1" applyProtection="1" pivotButton="0" quotePrefix="0" xfId="17">
      <alignment horizontal="center" vertical="center"/>
      <protection locked="0" hidden="0"/>
    </xf>
    <xf numFmtId="175" fontId="19" fillId="0" borderId="2" applyAlignment="1" applyProtection="1" pivotButton="0" quotePrefix="0" xfId="17">
      <alignment horizontal="center" vertical="center"/>
      <protection locked="0" hidden="0"/>
    </xf>
    <xf numFmtId="173" fontId="0" fillId="0" borderId="28" applyAlignment="1" applyProtection="1" pivotButton="0" quotePrefix="0" xfId="17">
      <alignment horizontal="general" vertical="center"/>
      <protection locked="0" hidden="0"/>
    </xf>
    <xf numFmtId="173" fontId="0" fillId="0" borderId="2" applyAlignment="1" applyProtection="1" pivotButton="0" quotePrefix="0" xfId="17">
      <alignment horizontal="general" vertical="center"/>
      <protection locked="0" hidden="0"/>
    </xf>
    <xf numFmtId="173" fontId="0" fillId="0" borderId="23" applyAlignment="1" applyProtection="1" pivotButton="0" quotePrefix="0" xfId="0">
      <alignment horizontal="general" vertical="center"/>
      <protection locked="0" hidden="0"/>
    </xf>
    <xf numFmtId="0" fontId="0" fillId="0" borderId="22" applyAlignment="1" applyProtection="1" pivotButton="0" quotePrefix="0" xfId="17">
      <alignment horizontal="center" vertical="center"/>
      <protection locked="0" hidden="0"/>
    </xf>
    <xf numFmtId="0" fontId="0" fillId="0" borderId="43" applyAlignment="1" applyProtection="1" pivotButton="0" quotePrefix="0" xfId="17">
      <alignment horizontal="center" vertical="center"/>
      <protection locked="0" hidden="0"/>
    </xf>
    <xf numFmtId="0" fontId="0" fillId="0" borderId="5" applyAlignment="1" applyProtection="1" pivotButton="0" quotePrefix="0" xfId="17">
      <alignment horizontal="center" vertical="center"/>
      <protection locked="0" hidden="0"/>
    </xf>
    <xf numFmtId="175" fontId="19" fillId="0" borderId="3" applyAlignment="1" applyProtection="1" pivotButton="0" quotePrefix="0" xfId="17">
      <alignment horizontal="center" vertical="center"/>
      <protection locked="0" hidden="0"/>
    </xf>
    <xf numFmtId="173" fontId="0" fillId="0" borderId="7" applyAlignment="1" applyProtection="1" pivotButton="0" quotePrefix="0" xfId="17">
      <alignment horizontal="general" vertical="center"/>
      <protection locked="0" hidden="0"/>
    </xf>
    <xf numFmtId="173" fontId="0" fillId="0" borderId="3" applyAlignment="1" applyProtection="1" pivotButton="0" quotePrefix="0" xfId="17">
      <alignment horizontal="general" vertical="center"/>
      <protection locked="0" hidden="0"/>
    </xf>
    <xf numFmtId="173" fontId="0" fillId="0" borderId="30" applyAlignment="1" applyProtection="1" pivotButton="0" quotePrefix="0" xfId="17">
      <alignment horizontal="general" vertical="center"/>
      <protection locked="0" hidden="0"/>
    </xf>
    <xf numFmtId="0" fontId="0" fillId="6" borderId="32" applyAlignment="1" applyProtection="1" pivotButton="0" quotePrefix="0" xfId="0">
      <alignment horizontal="center" vertical="center"/>
      <protection locked="0" hidden="0"/>
    </xf>
    <xf numFmtId="0" fontId="0" fillId="6" borderId="44" applyAlignment="1" applyProtection="1" pivotButton="0" quotePrefix="0" xfId="0">
      <alignment horizontal="center" vertical="center"/>
      <protection locked="0" hidden="0"/>
    </xf>
    <xf numFmtId="0" fontId="0" fillId="6" borderId="33" applyAlignment="1" applyProtection="1" pivotButton="0" quotePrefix="0" xfId="0">
      <alignment horizontal="center" vertical="center"/>
      <protection locked="0" hidden="0"/>
    </xf>
    <xf numFmtId="0" fontId="19" fillId="6" borderId="33" applyAlignment="1" applyProtection="1" pivotButton="0" quotePrefix="0" xfId="17">
      <alignment horizontal="center" vertical="center"/>
      <protection locked="0" hidden="0"/>
    </xf>
    <xf numFmtId="175" fontId="19" fillId="6" borderId="44" applyAlignment="1" applyProtection="1" pivotButton="0" quotePrefix="0" xfId="17">
      <alignment horizontal="center" vertical="center"/>
      <protection locked="0" hidden="0"/>
    </xf>
    <xf numFmtId="173" fontId="0" fillId="6" borderId="34" applyAlignment="1" applyProtection="1" pivotButton="0" quotePrefix="0" xfId="17">
      <alignment horizontal="general" vertical="center"/>
      <protection locked="0" hidden="0"/>
    </xf>
    <xf numFmtId="173" fontId="0" fillId="0" borderId="45" applyAlignment="1" applyProtection="1" pivotButton="0" quotePrefix="0" xfId="17">
      <alignment horizontal="general" vertical="center"/>
      <protection locked="0" hidden="0"/>
    </xf>
    <xf numFmtId="173" fontId="0" fillId="0" borderId="46" applyAlignment="1" applyProtection="1" pivotButton="0" quotePrefix="0" xfId="17">
      <alignment horizontal="general" vertical="center"/>
      <protection locked="0" hidden="0"/>
    </xf>
    <xf numFmtId="173" fontId="0" fillId="0" borderId="47" applyAlignment="1" applyProtection="1" pivotButton="0" quotePrefix="0" xfId="17">
      <alignment horizontal="general" vertical="center"/>
      <protection locked="0" hidden="0"/>
    </xf>
    <xf numFmtId="0" fontId="0" fillId="6" borderId="22" applyAlignment="1" applyProtection="1" pivotButton="0" quotePrefix="0" xfId="0">
      <alignment horizontal="center" vertical="center"/>
      <protection locked="0" hidden="0"/>
    </xf>
    <xf numFmtId="0" fontId="0" fillId="6" borderId="4" applyAlignment="1" applyProtection="1" pivotButton="0" quotePrefix="0" xfId="0">
      <alignment horizontal="center" vertical="center"/>
      <protection locked="0" hidden="0"/>
    </xf>
    <xf numFmtId="0" fontId="0" fillId="6" borderId="10" applyAlignment="1" applyProtection="1" pivotButton="0" quotePrefix="0" xfId="0">
      <alignment horizontal="center" vertical="center"/>
      <protection locked="0" hidden="0"/>
    </xf>
    <xf numFmtId="0" fontId="19" fillId="6" borderId="2" applyAlignment="1" applyProtection="1" pivotButton="0" quotePrefix="0" xfId="17">
      <alignment horizontal="center" vertical="center"/>
      <protection locked="0" hidden="0"/>
    </xf>
    <xf numFmtId="175" fontId="19" fillId="6" borderId="14" applyAlignment="1" applyProtection="1" pivotButton="0" quotePrefix="0" xfId="17">
      <alignment horizontal="center" vertical="center"/>
      <protection locked="0" hidden="0"/>
    </xf>
    <xf numFmtId="173" fontId="0" fillId="6" borderId="23" applyAlignment="1" applyProtection="1" pivotButton="0" quotePrefix="0" xfId="17">
      <alignment horizontal="general" vertical="center"/>
      <protection locked="0" hidden="0"/>
    </xf>
    <xf numFmtId="173" fontId="0" fillId="0" borderId="0" applyAlignment="1" applyProtection="1" pivotButton="0" quotePrefix="0" xfId="17">
      <alignment horizontal="general" vertical="center"/>
      <protection locked="0" hidden="0"/>
    </xf>
    <xf numFmtId="173" fontId="0" fillId="0" borderId="48" applyAlignment="1" applyProtection="1" pivotButton="0" quotePrefix="0" xfId="17">
      <alignment horizontal="general" vertical="center"/>
      <protection locked="0" hidden="0"/>
    </xf>
    <xf numFmtId="173" fontId="0" fillId="0" borderId="49" applyAlignment="1" applyProtection="1" pivotButton="0" quotePrefix="0" xfId="17">
      <alignment horizontal="general" vertical="center"/>
      <protection locked="0" hidden="0"/>
    </xf>
    <xf numFmtId="0" fontId="0" fillId="6" borderId="2" applyAlignment="1" applyProtection="1" pivotButton="0" quotePrefix="0" xfId="0">
      <alignment horizontal="center" vertical="center"/>
      <protection locked="0" hidden="0"/>
    </xf>
    <xf numFmtId="175" fontId="19" fillId="6" borderId="4" applyAlignment="1" applyProtection="1" pivotButton="0" quotePrefix="0" xfId="17">
      <alignment horizontal="center" vertical="center"/>
      <protection locked="0" hidden="0"/>
    </xf>
    <xf numFmtId="0" fontId="0" fillId="6" borderId="29" applyAlignment="1" applyProtection="1" pivotButton="0" quotePrefix="0" xfId="0">
      <alignment horizontal="center" vertical="center"/>
      <protection locked="0" hidden="0"/>
    </xf>
    <xf numFmtId="0" fontId="0" fillId="6" borderId="50" applyAlignment="1" applyProtection="1" pivotButton="0" quotePrefix="0" xfId="0">
      <alignment horizontal="center" vertical="center"/>
      <protection locked="0" hidden="0"/>
    </xf>
    <xf numFmtId="0" fontId="0" fillId="6" borderId="30" applyAlignment="1" applyProtection="1" pivotButton="0" quotePrefix="0" xfId="0">
      <alignment horizontal="center" vertical="center"/>
      <protection locked="0" hidden="0"/>
    </xf>
    <xf numFmtId="0" fontId="19" fillId="6" borderId="30" applyAlignment="1" applyProtection="1" pivotButton="0" quotePrefix="0" xfId="17">
      <alignment horizontal="center" vertical="center"/>
      <protection locked="0" hidden="0"/>
    </xf>
    <xf numFmtId="175" fontId="19" fillId="6" borderId="50" applyAlignment="1" applyProtection="1" pivotButton="0" quotePrefix="0" xfId="17">
      <alignment horizontal="center" vertical="center"/>
      <protection locked="0" hidden="0"/>
    </xf>
    <xf numFmtId="173" fontId="0" fillId="6" borderId="25" applyAlignment="1" applyProtection="1" pivotButton="0" quotePrefix="0" xfId="17">
      <alignment horizontal="general" vertical="center"/>
      <protection locked="0" hidden="0"/>
    </xf>
    <xf numFmtId="0" fontId="0" fillId="0" borderId="51" applyAlignment="1" applyProtection="1" pivotButton="0" quotePrefix="0" xfId="0">
      <alignment horizontal="center" vertical="center"/>
      <protection locked="0" hidden="0"/>
    </xf>
    <xf numFmtId="169" fontId="26" fillId="2" borderId="48" applyAlignment="1" applyProtection="1" pivotButton="0" quotePrefix="0" xfId="17">
      <alignment horizontal="general" vertical="center"/>
      <protection locked="0" hidden="0"/>
    </xf>
    <xf numFmtId="0" fontId="0" fillId="0" borderId="47" applyAlignment="1" applyProtection="1" pivotButton="0" quotePrefix="0" xfId="0">
      <alignment horizontal="general" vertical="center"/>
      <protection locked="0" hidden="0"/>
    </xf>
    <xf numFmtId="169" fontId="26" fillId="2" borderId="45" applyAlignment="1" applyProtection="1" pivotButton="0" quotePrefix="0" xfId="17">
      <alignment horizontal="general" vertical="center"/>
      <protection locked="0" hidden="0"/>
    </xf>
    <xf numFmtId="169" fontId="26" fillId="2" borderId="15" applyAlignment="1" applyProtection="1" pivotButton="0" quotePrefix="0" xfId="17">
      <alignment horizontal="general" vertical="center"/>
      <protection locked="0" hidden="0"/>
    </xf>
    <xf numFmtId="173" fontId="26" fillId="2" borderId="47" applyAlignment="1" applyProtection="1" pivotButton="0" quotePrefix="0" xfId="0">
      <alignment horizontal="center" vertical="center"/>
      <protection locked="0" hidden="0"/>
    </xf>
    <xf numFmtId="0" fontId="0" fillId="0" borderId="22" applyAlignment="1" applyProtection="1" pivotButton="0" quotePrefix="0" xfId="0">
      <alignment horizontal="center" vertical="center"/>
      <protection locked="0" hidden="0"/>
    </xf>
    <xf numFmtId="0" fontId="22" fillId="0" borderId="2" applyAlignment="1" applyProtection="1" pivotButton="0" quotePrefix="0" xfId="0">
      <alignment horizontal="center" vertical="center"/>
      <protection locked="0" hidden="0"/>
    </xf>
    <xf numFmtId="175" fontId="0" fillId="0" borderId="4" applyAlignment="1" applyProtection="1" pivotButton="0" quotePrefix="0" xfId="17">
      <alignment horizontal="center" vertical="center"/>
      <protection locked="0" hidden="0"/>
    </xf>
    <xf numFmtId="169" fontId="35" fillId="0" borderId="15" applyAlignment="1" applyProtection="1" pivotButton="0" quotePrefix="0" xfId="17">
      <alignment horizontal="center" vertical="center" wrapText="1"/>
      <protection locked="0" hidden="0"/>
    </xf>
    <xf numFmtId="0" fontId="0" fillId="5" borderId="43" applyAlignment="1" applyProtection="1" pivotButton="0" quotePrefix="0" xfId="0">
      <alignment horizontal="center" vertical="center"/>
      <protection locked="0" hidden="0"/>
    </xf>
    <xf numFmtId="176" fontId="0" fillId="5" borderId="5" applyAlignment="1" applyProtection="1" pivotButton="0" quotePrefix="0" xfId="17">
      <alignment horizontal="center" vertical="center"/>
      <protection locked="0" hidden="0"/>
    </xf>
    <xf numFmtId="169" fontId="9" fillId="5" borderId="37" applyAlignment="1" applyProtection="1" pivotButton="0" quotePrefix="0" xfId="0">
      <alignment horizontal="center" vertical="center"/>
      <protection locked="0" hidden="0"/>
    </xf>
    <xf numFmtId="169" fontId="29" fillId="5" borderId="52" applyAlignment="1" applyProtection="1" pivotButton="0" quotePrefix="0" xfId="0">
      <alignment horizontal="general" vertical="center"/>
      <protection locked="0" hidden="0"/>
    </xf>
    <xf numFmtId="169" fontId="29" fillId="5" borderId="37" applyAlignment="1" applyProtection="1" pivotButton="0" quotePrefix="0" xfId="0">
      <alignment horizontal="general" vertical="center"/>
      <protection locked="0" hidden="0"/>
    </xf>
    <xf numFmtId="169" fontId="9" fillId="5" borderId="47" applyAlignment="1" applyProtection="1" pivotButton="0" quotePrefix="0" xfId="0">
      <alignment horizontal="center" vertical="center"/>
      <protection locked="0" hidden="0"/>
    </xf>
    <xf numFmtId="0" fontId="0" fillId="0" borderId="15" applyAlignment="1" applyProtection="1" pivotButton="0" quotePrefix="0" xfId="0">
      <alignment horizontal="center" vertical="center"/>
      <protection locked="0" hidden="0"/>
    </xf>
    <xf numFmtId="0" fontId="22" fillId="2" borderId="43" applyAlignment="1" applyProtection="1" pivotButton="0" quotePrefix="0" xfId="0">
      <alignment horizontal="center" vertical="center" wrapText="1"/>
      <protection locked="0" hidden="0"/>
    </xf>
    <xf numFmtId="0" fontId="22" fillId="2" borderId="53" applyAlignment="1" applyProtection="1" pivotButton="0" quotePrefix="0" xfId="0">
      <alignment horizontal="center" vertical="center" wrapText="1"/>
      <protection locked="0" hidden="0"/>
    </xf>
    <xf numFmtId="0" fontId="19" fillId="0" borderId="22" applyAlignment="1" applyProtection="1" pivotButton="0" quotePrefix="0" xfId="0">
      <alignment horizontal="center" vertical="center"/>
      <protection locked="0" hidden="0"/>
    </xf>
    <xf numFmtId="0" fontId="13" fillId="0" borderId="2" applyAlignment="1" applyProtection="1" pivotButton="0" quotePrefix="0" xfId="0">
      <alignment horizontal="general" vertical="center"/>
      <protection locked="0" hidden="0"/>
    </xf>
    <xf numFmtId="0" fontId="13" fillId="0" borderId="2" applyAlignment="1" applyProtection="1" pivotButton="0" quotePrefix="0" xfId="0">
      <alignment horizontal="center" vertical="center"/>
      <protection locked="0" hidden="0"/>
    </xf>
    <xf numFmtId="169" fontId="19" fillId="0" borderId="23" applyAlignment="1" applyProtection="1" pivotButton="0" quotePrefix="0" xfId="0">
      <alignment horizontal="general" vertical="center"/>
      <protection locked="0" hidden="0"/>
    </xf>
    <xf numFmtId="169" fontId="26" fillId="0" borderId="54" applyAlignment="1" applyProtection="1" pivotButton="0" quotePrefix="0" xfId="17">
      <alignment horizontal="general" vertical="center" shrinkToFit="1"/>
      <protection locked="0" hidden="0"/>
    </xf>
    <xf numFmtId="0" fontId="22" fillId="0" borderId="16" applyAlignment="1" applyProtection="1" pivotButton="0" quotePrefix="0" xfId="0">
      <alignment horizontal="center" vertical="center" wrapText="1"/>
      <protection locked="0" hidden="0"/>
    </xf>
    <xf numFmtId="0" fontId="22" fillId="0" borderId="55" applyAlignment="1" applyProtection="1" pivotButton="0" quotePrefix="0" xfId="0">
      <alignment horizontal="center" vertical="center" wrapText="1"/>
      <protection locked="0" hidden="0"/>
    </xf>
    <xf numFmtId="0" fontId="22" fillId="0" borderId="17" applyAlignment="1" applyProtection="1" pivotButton="0" quotePrefix="0" xfId="0">
      <alignment horizontal="center" vertical="center" wrapText="1"/>
      <protection locked="0" hidden="0"/>
    </xf>
    <xf numFmtId="0" fontId="22" fillId="0" borderId="56" applyAlignment="1" applyProtection="1" pivotButton="0" quotePrefix="0" xfId="0">
      <alignment horizontal="center" vertical="center" wrapText="1"/>
      <protection locked="0" hidden="0"/>
    </xf>
    <xf numFmtId="0" fontId="22" fillId="0" borderId="18" applyAlignment="1" applyProtection="1" pivotButton="0" quotePrefix="0" xfId="0">
      <alignment horizontal="center" vertical="center" wrapText="1"/>
      <protection locked="0" hidden="0"/>
    </xf>
    <xf numFmtId="0" fontId="19" fillId="0" borderId="20" applyAlignment="1" applyProtection="1" pivotButton="0" quotePrefix="0" xfId="0">
      <alignment horizontal="center" vertical="center"/>
      <protection locked="0" hidden="0"/>
    </xf>
    <xf numFmtId="0" fontId="19" fillId="0" borderId="10" applyAlignment="1" applyProtection="1" pivotButton="0" quotePrefix="0" xfId="0">
      <alignment horizontal="general" vertical="center" shrinkToFit="1"/>
      <protection locked="0" hidden="0"/>
    </xf>
    <xf numFmtId="0" fontId="19" fillId="0" borderId="2" applyAlignment="1" applyProtection="1" pivotButton="0" quotePrefix="0" xfId="0">
      <alignment horizontal="center" vertical="center" shrinkToFit="1"/>
      <protection locked="0" hidden="0"/>
    </xf>
    <xf numFmtId="0" fontId="19" fillId="0" borderId="2" applyAlignment="1" pivotButton="0" quotePrefix="0" xfId="0">
      <alignment horizontal="center" vertical="center" shrinkToFit="1"/>
    </xf>
    <xf numFmtId="0" fontId="19" fillId="0" borderId="13" applyAlignment="1" applyProtection="1" pivotButton="0" quotePrefix="0" xfId="0">
      <alignment horizontal="center" vertical="center" shrinkToFit="1"/>
      <protection locked="0" hidden="0"/>
    </xf>
    <xf numFmtId="0" fontId="19" fillId="0" borderId="12" applyAlignment="1" applyProtection="1" pivotButton="0" quotePrefix="0" xfId="0">
      <alignment horizontal="center" vertical="center"/>
      <protection locked="0" hidden="0"/>
    </xf>
    <xf numFmtId="0" fontId="19" fillId="0" borderId="13" applyAlignment="1" applyProtection="1" pivotButton="0" quotePrefix="0" xfId="0">
      <alignment horizontal="center" vertical="center"/>
      <protection locked="0" hidden="0"/>
    </xf>
    <xf numFmtId="169" fontId="0" fillId="0" borderId="21" applyAlignment="1" applyProtection="1" pivotButton="0" quotePrefix="0" xfId="0">
      <alignment horizontal="center" vertical="center"/>
      <protection locked="0" hidden="0"/>
    </xf>
    <xf numFmtId="0" fontId="20" fillId="0" borderId="0" applyAlignment="1" applyProtection="1" pivotButton="0" quotePrefix="0" xfId="0">
      <alignment horizontal="general" vertical="center"/>
      <protection locked="0" hidden="0"/>
    </xf>
    <xf numFmtId="0" fontId="20" fillId="0" borderId="0" applyAlignment="1" applyProtection="1" pivotButton="0" quotePrefix="0" xfId="0">
      <alignment horizontal="center" vertical="center"/>
      <protection locked="0" hidden="0"/>
    </xf>
    <xf numFmtId="0" fontId="19" fillId="0" borderId="4" applyAlignment="1" applyProtection="1" pivotButton="0" quotePrefix="0" xfId="0">
      <alignment horizontal="general" vertical="center" shrinkToFit="1"/>
      <protection locked="0" hidden="0"/>
    </xf>
    <xf numFmtId="0" fontId="19" fillId="0" borderId="28" applyAlignment="1" applyProtection="1" pivotButton="0" quotePrefix="0" xfId="0">
      <alignment horizontal="center" vertical="center"/>
      <protection locked="0" hidden="0"/>
    </xf>
    <xf numFmtId="169" fontId="26" fillId="0" borderId="25" applyAlignment="1" applyProtection="1" pivotButton="0" quotePrefix="0" xfId="17">
      <alignment horizontal="general" vertical="center" shrinkToFit="1"/>
      <protection locked="0" hidden="0"/>
    </xf>
    <xf numFmtId="0" fontId="0" fillId="0" borderId="37" applyAlignment="1" applyProtection="1" pivotButton="0" quotePrefix="0" xfId="0">
      <alignment horizontal="center" vertical="center"/>
      <protection locked="0" hidden="0"/>
    </xf>
    <xf numFmtId="0" fontId="22" fillId="0" borderId="29" applyAlignment="1" applyProtection="1" pivotButton="0" quotePrefix="0" xfId="0">
      <alignment horizontal="center" vertical="center" wrapText="1"/>
      <protection locked="0" hidden="0"/>
    </xf>
    <xf numFmtId="0" fontId="22" fillId="0" borderId="30" applyAlignment="1" applyProtection="1" pivotButton="0" quotePrefix="0" xfId="0">
      <alignment horizontal="center" vertical="center" wrapText="1"/>
      <protection locked="0" hidden="0"/>
    </xf>
    <xf numFmtId="0" fontId="22" fillId="0" borderId="25" applyAlignment="1" applyProtection="1" pivotButton="0" quotePrefix="0" xfId="0">
      <alignment horizontal="center" vertical="center" wrapText="1"/>
      <protection locked="0" hidden="0"/>
    </xf>
    <xf numFmtId="0" fontId="22" fillId="0" borderId="30" applyAlignment="1" applyProtection="1" pivotButton="0" quotePrefix="0" xfId="0">
      <alignment horizontal="center" vertical="center"/>
      <protection locked="0" hidden="0"/>
    </xf>
    <xf numFmtId="0" fontId="19" fillId="0" borderId="20" applyAlignment="1" applyProtection="1" pivotButton="0" quotePrefix="0" xfId="0">
      <alignment horizontal="general" vertical="center"/>
      <protection locked="0" hidden="0"/>
    </xf>
    <xf numFmtId="173" fontId="19" fillId="0" borderId="13" applyAlignment="1" applyProtection="1" pivotButton="0" quotePrefix="0" xfId="0">
      <alignment horizontal="general" vertical="center" shrinkToFit="1"/>
      <protection locked="0" hidden="0"/>
    </xf>
    <xf numFmtId="0" fontId="19" fillId="0" borderId="57" applyAlignment="1" applyProtection="1" pivotButton="0" quotePrefix="0" xfId="0">
      <alignment horizontal="center" vertical="center"/>
      <protection locked="0" hidden="0"/>
    </xf>
    <xf numFmtId="0" fontId="19" fillId="0" borderId="12" applyAlignment="1" applyProtection="1" pivotButton="0" quotePrefix="0" xfId="0">
      <alignment horizontal="general" vertical="center"/>
      <protection locked="0" hidden="0"/>
    </xf>
    <xf numFmtId="0" fontId="19" fillId="0" borderId="21" applyAlignment="1" applyProtection="1" pivotButton="0" quotePrefix="0" xfId="0">
      <alignment horizontal="general" vertical="center"/>
      <protection locked="0" hidden="0"/>
    </xf>
    <xf numFmtId="173" fontId="19" fillId="0" borderId="4" applyAlignment="1" applyProtection="1" pivotButton="0" quotePrefix="0" xfId="0">
      <alignment horizontal="general" vertical="center" shrinkToFit="1"/>
      <protection locked="0" hidden="0"/>
    </xf>
    <xf numFmtId="0" fontId="19" fillId="0" borderId="28" applyAlignment="1" applyProtection="1" pivotButton="0" quotePrefix="0" xfId="0">
      <alignment horizontal="general" vertical="center"/>
      <protection locked="0" hidden="0"/>
    </xf>
    <xf numFmtId="173" fontId="19" fillId="0" borderId="2" applyAlignment="1" applyProtection="1" pivotButton="0" quotePrefix="0" xfId="0">
      <alignment horizontal="general" vertical="center" shrinkToFit="1"/>
      <protection locked="0" hidden="0"/>
    </xf>
    <xf numFmtId="0" fontId="13" fillId="0" borderId="2" applyAlignment="1" applyProtection="1" pivotButton="0" quotePrefix="0" xfId="0">
      <alignment horizontal="center" vertical="center" shrinkToFit="1"/>
      <protection locked="0" hidden="0"/>
    </xf>
    <xf numFmtId="169" fontId="35" fillId="0" borderId="37" applyAlignment="1" applyProtection="1" pivotButton="0" quotePrefix="0" xfId="17">
      <alignment horizontal="center" vertical="center"/>
      <protection locked="0" hidden="0"/>
    </xf>
    <xf numFmtId="0" fontId="0" fillId="0" borderId="38" applyAlignment="1" applyProtection="1" pivotButton="0" quotePrefix="0" xfId="0">
      <alignment horizontal="left" vertical="center"/>
      <protection locked="0" hidden="0"/>
    </xf>
    <xf numFmtId="0" fontId="0" fillId="0" borderId="31" applyAlignment="1" applyProtection="1" pivotButton="0" quotePrefix="0" xfId="0">
      <alignment horizontal="center" vertical="center"/>
      <protection locked="0" hidden="0"/>
    </xf>
    <xf numFmtId="0" fontId="8" fillId="0" borderId="13" applyAlignment="1" applyProtection="1" pivotButton="0" quotePrefix="0" xfId="0">
      <alignment horizontal="center" vertical="center"/>
      <protection locked="0" hidden="0"/>
    </xf>
    <xf numFmtId="0" fontId="30" fillId="0" borderId="13" applyAlignment="1" applyProtection="1" pivotButton="0" quotePrefix="0" xfId="0">
      <alignment horizontal="center" vertical="center"/>
      <protection locked="0" hidden="0"/>
    </xf>
    <xf numFmtId="0" fontId="22" fillId="0" borderId="2" applyAlignment="1" applyProtection="1" pivotButton="0" quotePrefix="0" xfId="0">
      <alignment horizontal="general" vertical="center"/>
      <protection locked="0" hidden="0"/>
    </xf>
    <xf numFmtId="0" fontId="0" fillId="0" borderId="7" applyAlignment="1" applyProtection="1" pivotButton="0" quotePrefix="0" xfId="0">
      <alignment horizontal="center" vertical="center" wrapText="1"/>
      <protection locked="0" hidden="0"/>
    </xf>
    <xf numFmtId="0" fontId="0" fillId="0" borderId="12" applyAlignment="1" applyProtection="1" pivotButton="0" quotePrefix="0" xfId="0">
      <alignment horizontal="center" vertical="center" wrapText="1"/>
      <protection locked="0" hidden="0"/>
    </xf>
    <xf numFmtId="0" fontId="0" fillId="0" borderId="28" applyAlignment="1" applyProtection="1" pivotButton="0" quotePrefix="0" xfId="0">
      <alignment horizontal="center" vertical="center"/>
      <protection locked="0" hidden="0"/>
    </xf>
    <xf numFmtId="0" fontId="0" fillId="0" borderId="2" applyAlignment="1" applyProtection="1" pivotButton="0" quotePrefix="0" xfId="0">
      <alignment horizontal="left" vertical="center"/>
      <protection locked="0" hidden="0"/>
    </xf>
    <xf numFmtId="0" fontId="0" fillId="0" borderId="28" applyAlignment="1" applyProtection="1" pivotButton="0" quotePrefix="0" xfId="0">
      <alignment horizontal="left" vertical="center"/>
      <protection locked="0" hidden="0"/>
    </xf>
    <xf numFmtId="0" fontId="0" fillId="0" borderId="3" applyAlignment="1" applyProtection="1" pivotButton="0" quotePrefix="0" xfId="0">
      <alignment horizontal="center" vertical="center"/>
      <protection locked="0" hidden="0"/>
    </xf>
    <xf numFmtId="0" fontId="7" fillId="0" borderId="27" applyAlignment="1" applyProtection="1" pivotButton="0" quotePrefix="0" xfId="0">
      <alignment horizontal="center" vertical="center" wrapText="1"/>
      <protection locked="0" hidden="0"/>
    </xf>
    <xf numFmtId="0" fontId="7" fillId="0" borderId="35" applyAlignment="1" applyProtection="1" pivotButton="0" quotePrefix="0" xfId="0">
      <alignment horizontal="center" vertical="center" wrapText="1"/>
      <protection locked="0" hidden="0"/>
    </xf>
    <xf numFmtId="0" fontId="7" fillId="0" borderId="31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0" fontId="36" fillId="0" borderId="0" applyAlignment="1" applyProtection="1" pivotButton="0" quotePrefix="0" xfId="0">
      <alignment horizontal="general" vertical="bottom"/>
      <protection locked="0" hidden="0"/>
    </xf>
    <xf numFmtId="0" fontId="37" fillId="0" borderId="0" applyAlignment="1" applyProtection="1" pivotButton="0" quotePrefix="0" xfId="0">
      <alignment horizontal="center" vertical="bottom"/>
      <protection locked="0" hidden="0"/>
    </xf>
    <xf numFmtId="49" fontId="0" fillId="0" borderId="0" applyAlignment="1" applyProtection="1" pivotButton="0" quotePrefix="0" xfId="0">
      <alignment horizontal="left" vertical="bottom"/>
      <protection locked="0" hidden="0"/>
    </xf>
    <xf numFmtId="0" fontId="37" fillId="5" borderId="0" applyAlignment="1" applyProtection="1" pivotButton="0" quotePrefix="0" xfId="0">
      <alignment horizontal="general" vertical="bottom"/>
      <protection locked="0" hidden="0"/>
    </xf>
    <xf numFmtId="0" fontId="37" fillId="2" borderId="0" applyAlignment="1" applyProtection="1" pivotButton="0" quotePrefix="0" xfId="0">
      <alignment horizontal="general" vertical="bottom"/>
      <protection locked="0" hidden="0"/>
    </xf>
    <xf numFmtId="0" fontId="37" fillId="0" borderId="0" applyAlignment="1" applyProtection="1" pivotButton="0" quotePrefix="0" xfId="0">
      <alignment horizontal="general" vertical="bottom"/>
      <protection locked="0" hidden="0"/>
    </xf>
    <xf numFmtId="0" fontId="0" fillId="0" borderId="4" applyAlignment="1" applyProtection="1" pivotButton="0" quotePrefix="0" xfId="0">
      <alignment horizontal="general" vertical="bottom"/>
      <protection locked="0" hidden="0"/>
    </xf>
    <xf numFmtId="10" fontId="0" fillId="0" borderId="2" applyAlignment="1" applyProtection="1" pivotButton="0" quotePrefix="0" xfId="19">
      <alignment horizontal="center" vertical="bottom"/>
      <protection locked="0" hidden="0"/>
    </xf>
    <xf numFmtId="10" fontId="0" fillId="0" borderId="28" applyAlignment="1" applyProtection="1" pivotButton="0" quotePrefix="0" xfId="19">
      <alignment horizontal="center" vertical="bottom"/>
      <protection locked="0" hidden="0"/>
    </xf>
    <xf numFmtId="0" fontId="0" fillId="2" borderId="0" applyAlignment="1" applyProtection="1" pivotButton="0" quotePrefix="0" xfId="0">
      <alignment horizontal="general" vertical="bottom"/>
      <protection locked="0" hidden="0"/>
    </xf>
    <xf numFmtId="10" fontId="0" fillId="0" borderId="2" applyAlignment="1" applyProtection="1" pivotButton="0" quotePrefix="0" xfId="19">
      <alignment horizontal="center" vertical="bottom"/>
      <protection locked="0" hidden="0"/>
    </xf>
    <xf numFmtId="0" fontId="0" fillId="0" borderId="4" applyAlignment="1" applyProtection="1" pivotButton="0" quotePrefix="0" xfId="0">
      <alignment horizontal="left" vertical="bottom"/>
      <protection locked="0" hidden="0"/>
    </xf>
    <xf numFmtId="10" fontId="0" fillId="0" borderId="2" applyAlignment="1" applyProtection="1" pivotButton="0" quotePrefix="0" xfId="0">
      <alignment horizontal="general" vertical="bottom"/>
      <protection locked="0" hidden="0"/>
    </xf>
    <xf numFmtId="10" fontId="38" fillId="7" borderId="2" applyAlignment="1" applyProtection="1" pivotButton="0" quotePrefix="0" xfId="0">
      <alignment horizontal="center" vertical="bottom"/>
      <protection locked="0" hidden="0"/>
    </xf>
    <xf numFmtId="10" fontId="38" fillId="7" borderId="28" applyAlignment="1" applyProtection="1" pivotButton="0" quotePrefix="0" xfId="19">
      <alignment horizontal="center" vertical="bottom"/>
      <protection locked="0" hidden="0"/>
    </xf>
    <xf numFmtId="10" fontId="38" fillId="7" borderId="2" applyAlignment="1" applyProtection="1" pivotButton="0" quotePrefix="0" xfId="19">
      <alignment horizontal="center" vertical="bottom"/>
      <protection locked="0" hidden="0"/>
    </xf>
    <xf numFmtId="0" fontId="37" fillId="0" borderId="4" applyAlignment="1" applyProtection="1" pivotButton="0" quotePrefix="0" xfId="0">
      <alignment horizontal="general" vertical="bottom"/>
      <protection locked="0" hidden="0"/>
    </xf>
    <xf numFmtId="10" fontId="37" fillId="0" borderId="28" applyAlignment="1" applyProtection="1" pivotButton="0" quotePrefix="0" xfId="19">
      <alignment horizontal="center" vertical="bottom"/>
      <protection locked="0" hidden="0"/>
    </xf>
    <xf numFmtId="10" fontId="37" fillId="0" borderId="2" applyAlignment="1" applyProtection="1" pivotButton="0" quotePrefix="0" xfId="19">
      <alignment horizontal="center" vertical="bottom"/>
      <protection locked="0" hidden="0"/>
    </xf>
    <xf numFmtId="0" fontId="39" fillId="8" borderId="4" applyAlignment="1" applyProtection="1" pivotButton="0" quotePrefix="0" xfId="0">
      <alignment horizontal="general" vertical="bottom"/>
      <protection locked="0" hidden="0"/>
    </xf>
    <xf numFmtId="177" fontId="39" fillId="8" borderId="2" applyAlignment="1" applyProtection="1" pivotButton="0" quotePrefix="0" xfId="15">
      <alignment horizontal="center" vertical="bottom"/>
      <protection locked="0" hidden="0"/>
    </xf>
    <xf numFmtId="177" fontId="39" fillId="8" borderId="28" applyAlignment="1" applyProtection="1" pivotButton="0" quotePrefix="0" xfId="15">
      <alignment horizontal="center" vertical="bottom"/>
      <protection locked="0" hidden="0"/>
    </xf>
    <xf numFmtId="177" fontId="0" fillId="2" borderId="0" applyAlignment="1" applyProtection="1" pivotButton="0" quotePrefix="0" xfId="0">
      <alignment horizontal="general" vertical="bottom"/>
      <protection locked="0" hidden="0"/>
    </xf>
    <xf numFmtId="177" fontId="0" fillId="0" borderId="0" applyAlignment="1" applyProtection="1" pivotButton="0" quotePrefix="0" xfId="0">
      <alignment horizontal="general" vertical="bottom"/>
      <protection locked="0" hidden="0"/>
    </xf>
    <xf numFmtId="0" fontId="39" fillId="0" borderId="0" applyAlignment="1" applyProtection="1" pivotButton="0" quotePrefix="0" xfId="0">
      <alignment horizontal="general" vertical="bottom"/>
      <protection locked="0" hidden="0"/>
    </xf>
    <xf numFmtId="178" fontId="39" fillId="0" borderId="0" applyAlignment="1" applyProtection="1" pivotButton="0" quotePrefix="0" xfId="15">
      <alignment horizontal="general" vertical="bottom"/>
      <protection locked="0" hidden="0"/>
    </xf>
    <xf numFmtId="0" fontId="21" fillId="0" borderId="0" applyAlignment="1" applyProtection="1" pivotButton="0" quotePrefix="0" xfId="0">
      <alignment horizontal="general" vertical="bottom"/>
      <protection locked="0" hidden="0"/>
    </xf>
    <xf numFmtId="0" fontId="30" fillId="0" borderId="0" applyAlignment="1" applyProtection="1" pivotButton="0" quotePrefix="0" xfId="0">
      <alignment horizontal="general" vertical="bottom"/>
      <protection locked="0" hidden="0"/>
    </xf>
    <xf numFmtId="4" fontId="21" fillId="0" borderId="0" applyAlignment="1" applyProtection="1" pivotButton="0" quotePrefix="0" xfId="15">
      <alignment horizontal="right" vertical="bottom"/>
      <protection locked="0" hidden="0"/>
    </xf>
    <xf numFmtId="9" fontId="37" fillId="0" borderId="0" applyAlignment="1" applyProtection="1" pivotButton="0" quotePrefix="0" xfId="19">
      <alignment horizontal="left" vertical="bottom"/>
      <protection locked="0" hidden="0"/>
    </xf>
    <xf numFmtId="4" fontId="21" fillId="0" borderId="37" applyAlignment="1" applyProtection="1" pivotButton="0" quotePrefix="0" xfId="15">
      <alignment horizontal="right" vertical="bottom"/>
      <protection locked="0" hidden="0"/>
    </xf>
    <xf numFmtId="9" fontId="37" fillId="0" borderId="0" applyAlignment="1" applyProtection="1" pivotButton="0" quotePrefix="0" xfId="0">
      <alignment horizontal="left" vertical="bottom"/>
      <protection locked="0" hidden="0"/>
    </xf>
    <xf numFmtId="4" fontId="21" fillId="0" borderId="52" applyAlignment="1" applyProtection="1" pivotButton="0" quotePrefix="0" xfId="15">
      <alignment horizontal="general" vertical="bottom"/>
      <protection locked="0" hidden="0"/>
    </xf>
    <xf numFmtId="0" fontId="21" fillId="0" borderId="15" applyAlignment="1" applyProtection="1" pivotButton="0" quotePrefix="0" xfId="0">
      <alignment horizontal="left" vertical="bottom"/>
      <protection locked="0" hidden="0"/>
    </xf>
    <xf numFmtId="0" fontId="39" fillId="8" borderId="37" applyAlignment="1" applyProtection="1" pivotButton="0" quotePrefix="0" xfId="0">
      <alignment horizontal="center" vertical="center"/>
      <protection locked="0" hidden="0"/>
    </xf>
    <xf numFmtId="10" fontId="8" fillId="0" borderId="58" applyAlignment="1" applyProtection="1" pivotButton="0" quotePrefix="0" xfId="19">
      <alignment horizontal="center" vertical="bottom"/>
      <protection locked="0" hidden="0"/>
    </xf>
    <xf numFmtId="0" fontId="0" fillId="2" borderId="15" applyAlignment="1" applyProtection="1" pivotButton="0" quotePrefix="0" xfId="0">
      <alignment horizontal="general" vertical="bottom"/>
      <protection locked="0" hidden="0"/>
    </xf>
    <xf numFmtId="10" fontId="8" fillId="0" borderId="37" applyAlignment="1" applyProtection="1" pivotButton="0" quotePrefix="0" xfId="0">
      <alignment horizontal="center" vertical="bottom"/>
      <protection locked="0" hidden="0"/>
    </xf>
    <xf numFmtId="0" fontId="8" fillId="2" borderId="15" applyAlignment="1" applyProtection="1" pivotButton="0" quotePrefix="0" xfId="0">
      <alignment horizontal="general" vertical="bottom"/>
      <protection locked="0" hidden="0"/>
    </xf>
    <xf numFmtId="0" fontId="0" fillId="2" borderId="26" applyAlignment="1" applyProtection="1" pivotButton="0" quotePrefix="0" xfId="0">
      <alignment horizontal="general" vertical="bottom"/>
      <protection locked="0" hidden="0"/>
    </xf>
    <xf numFmtId="0" fontId="8" fillId="2" borderId="26" applyAlignment="1" applyProtection="1" pivotButton="0" quotePrefix="0" xfId="0">
      <alignment horizontal="general" vertical="bottom"/>
      <protection locked="0" hidden="0"/>
    </xf>
    <xf numFmtId="0" fontId="39" fillId="8" borderId="51" applyAlignment="1" applyProtection="1" pivotButton="0" quotePrefix="0" xfId="0">
      <alignment horizontal="general" vertical="bottom"/>
      <protection locked="0" hidden="0"/>
    </xf>
    <xf numFmtId="0" fontId="8" fillId="0" borderId="20" applyAlignment="1" applyProtection="1" pivotButton="0" quotePrefix="0" xfId="0">
      <alignment horizontal="center" vertical="bottom"/>
      <protection locked="0" hidden="0"/>
    </xf>
    <xf numFmtId="178" fontId="39" fillId="8" borderId="10" applyAlignment="1" applyProtection="1" pivotButton="0" quotePrefix="0" xfId="15">
      <alignment horizontal="center" vertical="bottom"/>
      <protection locked="0" hidden="0"/>
    </xf>
    <xf numFmtId="0" fontId="8" fillId="0" borderId="12" applyAlignment="1" applyProtection="1" pivotButton="0" quotePrefix="0" xfId="0">
      <alignment horizontal="center" vertical="bottom"/>
      <protection locked="0" hidden="0"/>
    </xf>
    <xf numFmtId="178" fontId="39" fillId="8" borderId="21" applyAlignment="1" applyProtection="1" pivotButton="0" quotePrefix="0" xfId="15">
      <alignment horizontal="center" vertical="bottom"/>
      <protection locked="0" hidden="0"/>
    </xf>
    <xf numFmtId="9" fontId="39" fillId="8" borderId="38" applyAlignment="1" applyProtection="1" pivotButton="0" quotePrefix="0" xfId="0">
      <alignment horizontal="center" vertical="bottom"/>
      <protection locked="0" hidden="0"/>
    </xf>
    <xf numFmtId="4" fontId="0" fillId="0" borderId="22" applyAlignment="1" applyProtection="1" pivotButton="0" quotePrefix="0" xfId="0">
      <alignment horizontal="general" vertical="bottom"/>
      <protection locked="0" hidden="0"/>
    </xf>
    <xf numFmtId="178" fontId="39" fillId="8" borderId="4" applyAlignment="1" applyProtection="1" pivotButton="0" quotePrefix="0" xfId="15">
      <alignment horizontal="general" vertical="bottom"/>
      <protection locked="0" hidden="0"/>
    </xf>
    <xf numFmtId="4" fontId="0" fillId="0" borderId="28" applyAlignment="1" applyProtection="1" pivotButton="0" quotePrefix="0" xfId="0">
      <alignment horizontal="general" vertical="bottom"/>
      <protection locked="0" hidden="0"/>
    </xf>
    <xf numFmtId="178" fontId="39" fillId="8" borderId="23" applyAlignment="1" applyProtection="1" pivotButton="0" quotePrefix="0" xfId="15">
      <alignment horizontal="general" vertical="bottom"/>
      <protection locked="0" hidden="0"/>
    </xf>
    <xf numFmtId="4" fontId="21" fillId="0" borderId="22" applyAlignment="1" applyProtection="1" pivotButton="0" quotePrefix="0" xfId="0">
      <alignment horizontal="general" vertical="bottom"/>
      <protection locked="0" hidden="0"/>
    </xf>
    <xf numFmtId="4" fontId="21" fillId="0" borderId="28" applyAlignment="1" applyProtection="1" pivotButton="0" quotePrefix="0" xfId="0">
      <alignment horizontal="general" vertical="bottom"/>
      <protection locked="0" hidden="0"/>
    </xf>
    <xf numFmtId="9" fontId="39" fillId="8" borderId="59" applyAlignment="1" applyProtection="1" pivotButton="0" quotePrefix="0" xfId="0">
      <alignment horizontal="center" vertical="bottom"/>
      <protection locked="0" hidden="0"/>
    </xf>
    <xf numFmtId="4" fontId="0" fillId="0" borderId="29" applyAlignment="1" applyProtection="1" pivotButton="0" quotePrefix="0" xfId="0">
      <alignment horizontal="general" vertical="bottom"/>
      <protection locked="0" hidden="0"/>
    </xf>
    <xf numFmtId="178" fontId="39" fillId="8" borderId="50" applyAlignment="1" applyProtection="1" pivotButton="0" quotePrefix="0" xfId="15">
      <alignment horizontal="general" vertical="bottom"/>
      <protection locked="0" hidden="0"/>
    </xf>
    <xf numFmtId="0" fontId="0" fillId="2" borderId="39" applyAlignment="1" applyProtection="1" pivotButton="0" quotePrefix="0" xfId="0">
      <alignment horizontal="general" vertical="bottom"/>
      <protection locked="0" hidden="0"/>
    </xf>
    <xf numFmtId="4" fontId="0" fillId="0" borderId="60" applyAlignment="1" applyProtection="1" pivotButton="0" quotePrefix="0" xfId="0">
      <alignment horizontal="general" vertical="bottom"/>
      <protection locked="0" hidden="0"/>
    </xf>
    <xf numFmtId="178" fontId="39" fillId="8" borderId="25" applyAlignment="1" applyProtection="1" pivotButton="0" quotePrefix="0" xfId="15">
      <alignment horizontal="general" vertical="bottom"/>
      <protection locked="0" hidden="0"/>
    </xf>
    <xf numFmtId="179" fontId="0" fillId="0" borderId="0" applyAlignment="1" applyProtection="1" pivotButton="0" quotePrefix="0" xfId="0">
      <alignment horizontal="general" vertical="bottom"/>
      <protection locked="0" hidden="0"/>
    </xf>
    <xf numFmtId="0" fontId="21" fillId="0" borderId="37" applyAlignment="1" applyProtection="1" pivotButton="0" quotePrefix="0" xfId="0">
      <alignment horizontal="left" vertical="bottom"/>
      <protection locked="0" hidden="0"/>
    </xf>
    <xf numFmtId="0" fontId="8" fillId="0" borderId="15" applyAlignment="1" applyProtection="1" pivotButton="0" quotePrefix="0" xfId="0">
      <alignment horizontal="center" vertical="bottom"/>
      <protection locked="0" hidden="0"/>
    </xf>
    <xf numFmtId="0" fontId="37" fillId="0" borderId="37" applyAlignment="1" applyProtection="1" pivotButton="0" quotePrefix="0" xfId="0">
      <alignment horizontal="left" vertical="center"/>
      <protection locked="0" hidden="0"/>
    </xf>
    <xf numFmtId="173" fontId="37" fillId="0" borderId="61" applyAlignment="1" applyProtection="1" pivotButton="0" quotePrefix="0" xfId="17">
      <alignment horizontal="center" vertical="center"/>
      <protection locked="0" hidden="0"/>
    </xf>
    <xf numFmtId="49" fontId="32" fillId="7" borderId="35" applyAlignment="1" applyProtection="1" pivotButton="0" quotePrefix="0" xfId="0">
      <alignment horizontal="center" vertical="bottom"/>
      <protection locked="0" hidden="0"/>
    </xf>
    <xf numFmtId="0" fontId="32" fillId="7" borderId="35" applyAlignment="1" applyProtection="1" pivotButton="0" quotePrefix="0" xfId="0">
      <alignment horizontal="center" vertical="bottom"/>
      <protection locked="0" hidden="0"/>
    </xf>
    <xf numFmtId="0" fontId="0" fillId="0" borderId="37" applyAlignment="1" applyProtection="1" pivotButton="0" quotePrefix="0" xfId="0">
      <alignment horizontal="center" vertical="bottom"/>
      <protection locked="0" hidden="0"/>
    </xf>
    <xf numFmtId="0" fontId="21" fillId="0" borderId="20" applyAlignment="1" applyProtection="1" pivotButton="0" quotePrefix="0" xfId="0">
      <alignment horizontal="center" vertical="center" wrapText="1"/>
      <protection locked="0" hidden="0"/>
    </xf>
    <xf numFmtId="2" fontId="30" fillId="0" borderId="37" applyAlignment="1" pivotButton="0" quotePrefix="0" xfId="15">
      <alignment horizontal="center" vertical="center"/>
    </xf>
    <xf numFmtId="0" fontId="21" fillId="0" borderId="29" applyAlignment="1" applyProtection="1" pivotButton="0" quotePrefix="0" xfId="0">
      <alignment horizontal="center" vertical="center" wrapText="1"/>
      <protection locked="0" hidden="0"/>
    </xf>
    <xf numFmtId="1" fontId="30" fillId="0" borderId="37" applyAlignment="1" pivotButton="0" quotePrefix="0" xfId="15">
      <alignment horizontal="center" vertical="center"/>
    </xf>
    <xf numFmtId="0" fontId="32" fillId="7" borderId="31" applyAlignment="1" applyProtection="1" pivotButton="0" quotePrefix="0" xfId="0">
      <alignment horizontal="center" vertical="bottom"/>
      <protection locked="0" hidden="0"/>
    </xf>
    <xf numFmtId="0" fontId="32" fillId="0" borderId="0" applyAlignment="1" applyProtection="1" pivotButton="0" quotePrefix="0" xfId="0">
      <alignment horizontal="general" vertical="center" wrapText="1"/>
      <protection locked="0" hidden="0"/>
    </xf>
    <xf numFmtId="0" fontId="17" fillId="0" borderId="0" applyAlignment="1" applyProtection="1" pivotButton="0" quotePrefix="0" xfId="0">
      <alignment horizontal="general" vertical="center"/>
      <protection locked="0" hidden="0"/>
    </xf>
    <xf numFmtId="4" fontId="32" fillId="0" borderId="0" applyAlignment="1" pivotButton="0" quotePrefix="0" xfId="0">
      <alignment horizontal="general" vertical="bottom"/>
    </xf>
    <xf numFmtId="4" fontId="32" fillId="0" borderId="0" applyAlignment="1" applyProtection="1" pivotButton="0" quotePrefix="0" xfId="0">
      <alignment horizontal="general" vertical="bottom"/>
      <protection locked="0" hidden="0"/>
    </xf>
    <xf numFmtId="49" fontId="0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general" vertical="bottom"/>
    </xf>
    <xf numFmtId="171" fontId="0" fillId="0" borderId="0" applyAlignment="1" pivotButton="0" quotePrefix="0" xfId="0">
      <alignment horizontal="center" vertical="bottom"/>
    </xf>
    <xf numFmtId="49" fontId="42" fillId="0" borderId="0" applyAlignment="1" pivotButton="0" quotePrefix="0" xfId="0">
      <alignment horizontal="general" vertical="bottom"/>
    </xf>
    <xf numFmtId="49" fontId="8" fillId="0" borderId="40" applyAlignment="1" pivotButton="0" quotePrefix="0" xfId="0">
      <alignment horizontal="center" vertical="bottom"/>
    </xf>
    <xf numFmtId="0" fontId="43" fillId="5" borderId="33" applyAlignment="1" pivotButton="0" quotePrefix="0" xfId="0">
      <alignment horizontal="center" vertical="center" wrapText="1"/>
    </xf>
    <xf numFmtId="4" fontId="37" fillId="5" borderId="57" applyAlignment="1" pivotButton="0" quotePrefix="0" xfId="0">
      <alignment horizontal="center" vertical="center"/>
    </xf>
    <xf numFmtId="0" fontId="37" fillId="0" borderId="2" applyAlignment="1" pivotButton="0" quotePrefix="0" xfId="0">
      <alignment horizontal="center" vertical="bottom"/>
    </xf>
    <xf numFmtId="0" fontId="37" fillId="0" borderId="4" applyAlignment="1" pivotButton="0" quotePrefix="0" xfId="0">
      <alignment horizontal="left" vertical="bottom"/>
    </xf>
    <xf numFmtId="180" fontId="37" fillId="0" borderId="2" applyAlignment="1" pivotButton="0" quotePrefix="0" xfId="0">
      <alignment horizontal="right" vertical="bottom"/>
    </xf>
    <xf numFmtId="0" fontId="37" fillId="0" borderId="4" applyAlignment="1" pivotButton="0" quotePrefix="0" xfId="0">
      <alignment horizontal="general" vertical="bottom"/>
    </xf>
    <xf numFmtId="0" fontId="37" fillId="4" borderId="2" applyAlignment="1" pivotButton="0" quotePrefix="0" xfId="0">
      <alignment horizontal="center" vertical="bottom"/>
    </xf>
    <xf numFmtId="0" fontId="37" fillId="4" borderId="4" applyAlignment="1" pivotButton="0" quotePrefix="0" xfId="0">
      <alignment horizontal="left" vertical="bottom"/>
    </xf>
    <xf numFmtId="180" fontId="37" fillId="4" borderId="2" applyAlignment="1" pivotButton="0" quotePrefix="0" xfId="0">
      <alignment horizontal="right" vertical="bottom"/>
    </xf>
    <xf numFmtId="49" fontId="42" fillId="5" borderId="0" applyAlignment="1" pivotButton="0" quotePrefix="0" xfId="0">
      <alignment horizontal="general" vertical="bottom"/>
    </xf>
    <xf numFmtId="0" fontId="37" fillId="0" borderId="2" applyAlignment="1" pivotButton="0" quotePrefix="0" xfId="0">
      <alignment horizontal="center" vertical="bottom"/>
    </xf>
    <xf numFmtId="0" fontId="37" fillId="0" borderId="4" applyAlignment="1" pivotButton="0" quotePrefix="0" xfId="0">
      <alignment horizontal="left" vertical="bottom"/>
    </xf>
    <xf numFmtId="180" fontId="37" fillId="0" borderId="2" applyAlignment="1" pivotButton="0" quotePrefix="0" xfId="0">
      <alignment horizontal="right" vertical="bottom"/>
    </xf>
    <xf numFmtId="2" fontId="37" fillId="0" borderId="2" applyAlignment="1" pivotButton="0" quotePrefix="0" xfId="0">
      <alignment horizontal="right" vertical="bottom"/>
    </xf>
    <xf numFmtId="2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181" fontId="0" fillId="0" borderId="0" applyAlignment="1" pivotButton="0" quotePrefix="0" xfId="0">
      <alignment horizontal="general" vertical="bottom"/>
    </xf>
    <xf numFmtId="182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4" fillId="9" borderId="0" applyAlignment="1" pivotButton="0" quotePrefix="0" xfId="0">
      <alignment horizontal="center" vertical="bottom"/>
    </xf>
    <xf numFmtId="0" fontId="37" fillId="0" borderId="0" applyAlignment="1" pivotButton="0" quotePrefix="0" xfId="0">
      <alignment horizontal="center" vertical="bottom"/>
    </xf>
    <xf numFmtId="0" fontId="37" fillId="0" borderId="0" applyAlignment="1" pivotButton="0" quotePrefix="0" xfId="0">
      <alignment horizontal="left" vertical="bottom"/>
    </xf>
    <xf numFmtId="0" fontId="37" fillId="0" borderId="0" applyAlignment="1" pivotButton="0" quotePrefix="0" xfId="0">
      <alignment horizontal="right" vertical="bottom"/>
    </xf>
    <xf numFmtId="0" fontId="37" fillId="0" borderId="0" applyAlignment="1" pivotButton="0" quotePrefix="0" xfId="0">
      <alignment horizontal="general" vertical="bottom"/>
    </xf>
    <xf numFmtId="0" fontId="4" fillId="0" borderId="0" applyAlignment="1" pivotButton="0" quotePrefix="0" xfId="24">
      <alignment horizontal="center" vertical="center"/>
    </xf>
    <xf numFmtId="0" fontId="45" fillId="6" borderId="16" applyAlignment="1" pivotButton="0" quotePrefix="0" xfId="0">
      <alignment horizontal="general" vertical="bottom"/>
    </xf>
    <xf numFmtId="0" fontId="45" fillId="6" borderId="17" applyAlignment="1" pivotButton="0" quotePrefix="0" xfId="0">
      <alignment horizontal="general" vertical="bottom"/>
    </xf>
    <xf numFmtId="0" fontId="0" fillId="0" borderId="2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183" fontId="0" fillId="0" borderId="2" applyAlignment="1" pivotButton="0" quotePrefix="0" xfId="0">
      <alignment horizontal="general" vertical="bottom"/>
    </xf>
    <xf numFmtId="0" fontId="0" fillId="0" borderId="29" applyAlignment="1" pivotButton="0" quotePrefix="0" xfId="0">
      <alignment horizontal="general" vertical="bottom"/>
    </xf>
    <xf numFmtId="0" fontId="0" fillId="0" borderId="30" applyAlignment="1" pivotButton="0" quotePrefix="0" xfId="0">
      <alignment horizontal="general" vertical="bottom"/>
    </xf>
    <xf numFmtId="49" fontId="0" fillId="0" borderId="2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45" fillId="0" borderId="2" applyAlignment="1" pivotButton="0" quotePrefix="0" xfId="0">
      <alignment horizontal="left" vertical="bottom"/>
    </xf>
    <xf numFmtId="0" fontId="45" fillId="0" borderId="2" applyAlignment="1" pivotButton="0" quotePrefix="0" xfId="0">
      <alignment horizontal="center" vertical="bottom"/>
    </xf>
    <xf numFmtId="0" fontId="0" fillId="0" borderId="2" applyAlignment="1" pivotButton="0" quotePrefix="0" xfId="0">
      <alignment horizontal="left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applyProtection="1" pivotButton="0" quotePrefix="0" xfId="0">
      <alignment horizontal="general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0" fillId="0" borderId="0" pivotButton="0" quotePrefix="0" xfId="0"/>
    <xf numFmtId="0" fontId="17" fillId="0" borderId="15" applyAlignment="1" applyProtection="1" pivotButton="0" quotePrefix="0" xfId="0">
      <alignment horizontal="center" vertical="center"/>
      <protection locked="0" hidden="0"/>
    </xf>
    <xf numFmtId="0" fontId="0" fillId="0" borderId="45" applyProtection="1" pivotButton="0" quotePrefix="0" xfId="0">
      <protection locked="0" hidden="0"/>
    </xf>
    <xf numFmtId="0" fontId="0" fillId="0" borderId="47" applyProtection="1" pivotButton="0" quotePrefix="0" xfId="0">
      <protection locked="0" hidden="0"/>
    </xf>
    <xf numFmtId="0" fontId="0" fillId="0" borderId="16" applyAlignment="1" applyProtection="1" pivotButton="0" quotePrefix="0" xfId="0">
      <alignment horizontal="center" vertical="center" wrapText="1"/>
      <protection locked="0" hidden="0"/>
    </xf>
    <xf numFmtId="0" fontId="0" fillId="0" borderId="56" applyProtection="1" pivotButton="0" quotePrefix="0" xfId="0">
      <protection locked="0" hidden="0"/>
    </xf>
    <xf numFmtId="0" fontId="18" fillId="0" borderId="17" applyAlignment="1" applyProtection="1" pivotButton="0" quotePrefix="0" xfId="0">
      <alignment horizontal="center" vertical="center"/>
      <protection locked="0" hidden="0"/>
    </xf>
    <xf numFmtId="0" fontId="0" fillId="0" borderId="52" applyProtection="1" pivotButton="0" quotePrefix="0" xfId="0">
      <protection locked="0" hidden="0"/>
    </xf>
    <xf numFmtId="0" fontId="0" fillId="0" borderId="17" applyAlignment="1" applyProtection="1" pivotButton="0" quotePrefix="0" xfId="0">
      <alignment horizontal="center" vertical="center"/>
      <protection locked="0" hidden="0"/>
    </xf>
    <xf numFmtId="49" fontId="19" fillId="0" borderId="17" applyAlignment="1" applyProtection="1" pivotButton="0" quotePrefix="0" xfId="0">
      <alignment horizontal="center" vertical="center"/>
      <protection locked="0" hidden="0"/>
    </xf>
    <xf numFmtId="49" fontId="20" fillId="0" borderId="17" applyAlignment="1" applyProtection="1" pivotButton="0" quotePrefix="0" xfId="0">
      <alignment horizontal="general" vertical="center" shrinkToFit="1"/>
      <protection locked="0" hidden="0"/>
    </xf>
    <xf numFmtId="0" fontId="18" fillId="0" borderId="18" applyAlignment="1" applyProtection="1" pivotButton="0" quotePrefix="0" xfId="0">
      <alignment horizontal="center" vertical="center" shrinkToFit="1"/>
      <protection locked="0" hidden="0"/>
    </xf>
    <xf numFmtId="0" fontId="21" fillId="0" borderId="19" applyAlignment="1" applyProtection="1" pivotButton="0" quotePrefix="0" xfId="0">
      <alignment horizontal="center" vertical="center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64" applyProtection="1" pivotButton="0" quotePrefix="0" xfId="0">
      <protection locked="0" hidden="0"/>
    </xf>
    <xf numFmtId="0" fontId="22" fillId="2" borderId="20" applyAlignment="1" applyProtection="1" pivotButton="0" quotePrefix="0" xfId="0">
      <alignment horizontal="center" vertical="center" wrapText="1"/>
      <protection locked="0" hidden="0"/>
    </xf>
    <xf numFmtId="0" fontId="22" fillId="2" borderId="13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22" fillId="2" borderId="8" applyAlignment="1" applyProtection="1" pivotButton="0" quotePrefix="0" xfId="0">
      <alignment horizontal="center" vertical="center" wrapText="1"/>
      <protection locked="0" hidden="0"/>
    </xf>
    <xf numFmtId="0" fontId="22" fillId="2" borderId="2" applyAlignment="1" applyProtection="1" pivotButton="0" quotePrefix="0" xfId="0">
      <alignment horizontal="center" vertical="center" wrapText="1"/>
      <protection locked="0" hidden="0"/>
    </xf>
    <xf numFmtId="0" fontId="0" fillId="0" borderId="7" applyProtection="1" pivotButton="0" quotePrefix="0" xfId="0">
      <protection locked="0" hidden="0"/>
    </xf>
    <xf numFmtId="0" fontId="22" fillId="2" borderId="21" applyAlignment="1" applyProtection="1" pivotButton="0" quotePrefix="0" xfId="0">
      <alignment horizontal="center" vertical="center" wrapText="1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25" fillId="0" borderId="0" applyAlignment="1" applyProtection="1" pivotButton="0" quotePrefix="0" xfId="0">
      <alignment horizontal="general" vertical="center"/>
      <protection locked="0" hidden="0"/>
    </xf>
    <xf numFmtId="0" fontId="23" fillId="0" borderId="22" applyAlignment="1" applyProtection="1" pivotButton="0" quotePrefix="0" xfId="0">
      <alignment horizontal="center" vertical="center" shrinkToFit="1"/>
      <protection locked="0" hidden="0"/>
    </xf>
    <xf numFmtId="0" fontId="23" fillId="0" borderId="2" applyAlignment="1" applyProtection="1" pivotButton="0" quotePrefix="0" xfId="0">
      <alignment horizontal="center" vertical="center" shrinkToFi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166" fontId="23" fillId="0" borderId="4" applyAlignment="1" applyProtection="1" pivotButton="0" quotePrefix="0" xfId="17">
      <alignment horizontal="center" vertical="center" shrinkToFit="1"/>
      <protection locked="0" hidden="0"/>
    </xf>
    <xf numFmtId="49" fontId="23" fillId="0" borderId="2" applyAlignment="1" applyProtection="1" pivotButton="0" quotePrefix="0" xfId="17">
      <alignment horizontal="center" vertical="center" shrinkToFit="1"/>
      <protection locked="0" hidden="0"/>
    </xf>
    <xf numFmtId="167" fontId="23" fillId="0" borderId="2" applyAlignment="1" applyProtection="1" pivotButton="0" quotePrefix="0" xfId="17">
      <alignment horizontal="center" vertical="center" shrinkToFit="1"/>
      <protection locked="0" hidden="0"/>
    </xf>
    <xf numFmtId="168" fontId="24" fillId="0" borderId="2" applyAlignment="1" pivotButton="0" quotePrefix="0" xfId="17">
      <alignment horizontal="center" vertical="center"/>
    </xf>
    <xf numFmtId="0" fontId="0" fillId="0" borderId="28" pivotButton="0" quotePrefix="0" xfId="0"/>
    <xf numFmtId="168" fontId="25" fillId="0" borderId="23" applyAlignment="1" pivotButton="0" quotePrefix="0" xfId="17">
      <alignment horizontal="center" vertical="center"/>
    </xf>
    <xf numFmtId="0" fontId="25" fillId="0" borderId="0" applyAlignment="1" applyProtection="1" pivotButton="0" quotePrefix="0" xfId="0">
      <alignment horizontal="center" vertical="center"/>
      <protection locked="0" hidden="0"/>
    </xf>
    <xf numFmtId="167" fontId="23" fillId="0" borderId="4" applyAlignment="1" applyProtection="1" pivotButton="0" quotePrefix="0" xfId="17">
      <alignment horizontal="center" vertical="center" shrinkToFit="1"/>
      <protection locked="0" hidden="0"/>
    </xf>
    <xf numFmtId="168" fontId="25" fillId="0" borderId="2" applyAlignment="1" pivotButton="0" quotePrefix="0" xfId="17">
      <alignment horizontal="center" vertical="center"/>
    </xf>
    <xf numFmtId="0" fontId="0" fillId="0" borderId="24" applyAlignment="1" applyProtection="1" pivotButton="0" quotePrefix="0" xfId="0">
      <alignment horizontal="left" vertical="center"/>
      <protection locked="0" hidden="0"/>
    </xf>
    <xf numFmtId="0" fontId="0" fillId="0" borderId="40" applyProtection="1" pivotButton="0" quotePrefix="0" xfId="0">
      <protection locked="0" hidden="0"/>
    </xf>
    <xf numFmtId="0" fontId="0" fillId="0" borderId="65" applyProtection="1" pivotButton="0" quotePrefix="0" xfId="0">
      <protection locked="0" hidden="0"/>
    </xf>
    <xf numFmtId="169" fontId="26" fillId="0" borderId="25" applyAlignment="1" pivotButton="0" quotePrefix="0" xfId="17">
      <alignment horizontal="general" vertical="center"/>
    </xf>
    <xf numFmtId="0" fontId="0" fillId="0" borderId="26" applyAlignment="1" applyProtection="1" pivotButton="0" quotePrefix="0" xfId="0">
      <alignment horizontal="center" vertical="center"/>
      <protection locked="0" hidden="0"/>
    </xf>
    <xf numFmtId="0" fontId="0" fillId="0" borderId="49" applyProtection="1" pivotButton="0" quotePrefix="0" xfId="0">
      <protection locked="0" hidden="0"/>
    </xf>
    <xf numFmtId="0" fontId="21" fillId="0" borderId="27" applyAlignment="1" applyProtection="1" pivotButton="0" quotePrefix="0" xfId="0">
      <alignment horizontal="center" vertical="center"/>
      <protection locked="0" hidden="0"/>
    </xf>
    <xf numFmtId="0" fontId="0" fillId="0" borderId="66" applyProtection="1" pivotButton="0" quotePrefix="0" xfId="0">
      <protection locked="0" hidden="0"/>
    </xf>
    <xf numFmtId="0" fontId="0" fillId="0" borderId="67" applyProtection="1" pivotButton="0" quotePrefix="0" xfId="0">
      <protection locked="0" hidden="0"/>
    </xf>
    <xf numFmtId="0" fontId="22" fillId="2" borderId="3" applyAlignment="1" applyProtection="1" pivotButton="0" quotePrefix="0" xfId="0">
      <alignment horizontal="center" vertical="center" wrapText="1"/>
      <protection locked="0" hidden="0"/>
    </xf>
    <xf numFmtId="0" fontId="22" fillId="2" borderId="7" applyAlignment="1" applyProtection="1" pivotButton="0" quotePrefix="0" xfId="0">
      <alignment horizontal="center" vertical="center" wrapText="1"/>
      <protection locked="0" hidden="0"/>
    </xf>
    <xf numFmtId="0" fontId="22" fillId="2" borderId="4" applyAlignment="1" applyProtection="1" pivotButton="0" quotePrefix="0" xfId="0">
      <alignment horizontal="center" vertical="center" wrapText="1"/>
      <protection locked="0" hidden="0"/>
    </xf>
    <xf numFmtId="0" fontId="0" fillId="0" borderId="6" applyProtection="1" pivotButton="0" quotePrefix="0" xfId="0">
      <protection locked="0" hidden="0"/>
    </xf>
    <xf numFmtId="0" fontId="0" fillId="0" borderId="62" applyProtection="1" pivotButton="0" quotePrefix="0" xfId="0">
      <protection locked="0" hidden="0"/>
    </xf>
    <xf numFmtId="0" fontId="23" fillId="0" borderId="2" applyAlignment="1" applyProtection="1" pivotButton="0" quotePrefix="0" xfId="0">
      <alignment horizontal="center" vertical="center"/>
      <protection locked="0" hidden="0"/>
    </xf>
    <xf numFmtId="170" fontId="23" fillId="0" borderId="2" applyAlignment="1" applyProtection="1" pivotButton="0" quotePrefix="0" xfId="0">
      <alignment horizontal="center" vertical="center"/>
      <protection locked="0" hidden="0"/>
    </xf>
    <xf numFmtId="0" fontId="23" fillId="0" borderId="4" applyAlignment="1" applyProtection="1" pivotButton="0" quotePrefix="0" xfId="0">
      <alignment horizontal="center" vertical="center"/>
      <protection locked="0" hidden="0"/>
    </xf>
    <xf numFmtId="0" fontId="23" fillId="0" borderId="2" applyAlignment="1" applyProtection="1" pivotButton="0" quotePrefix="0" xfId="0">
      <alignment horizontal="general" vertical="center" shrinkToFit="1"/>
      <protection locked="0" hidden="0"/>
    </xf>
    <xf numFmtId="169" fontId="23" fillId="0" borderId="23" applyAlignment="1" applyProtection="1" pivotButton="0" quotePrefix="0" xfId="0">
      <alignment horizontal="center" vertical="center"/>
      <protection locked="0" hidden="0"/>
    </xf>
    <xf numFmtId="0" fontId="22" fillId="2" borderId="22" applyAlignment="1" applyProtection="1" pivotButton="0" quotePrefix="0" xfId="0">
      <alignment horizontal="center" vertical="center" wrapText="1"/>
      <protection locked="0" hidden="0"/>
    </xf>
    <xf numFmtId="0" fontId="22" fillId="2" borderId="28" applyAlignment="1" applyProtection="1" pivotButton="0" quotePrefix="0" xfId="0">
      <alignment horizontal="center" vertical="center" wrapText="1"/>
      <protection locked="0" hidden="0"/>
    </xf>
    <xf numFmtId="0" fontId="22" fillId="2" borderId="23" applyAlignment="1" applyProtection="1" pivotButton="0" quotePrefix="0" xfId="0">
      <alignment horizontal="center" vertical="center" wrapText="1"/>
      <protection locked="0" hidden="0"/>
    </xf>
    <xf numFmtId="0" fontId="23" fillId="0" borderId="4" applyAlignment="1" applyProtection="1" pivotButton="0" quotePrefix="0" xfId="0">
      <alignment horizontal="center" vertical="center" shrinkToFit="1"/>
      <protection locked="0" hidden="0"/>
    </xf>
    <xf numFmtId="0" fontId="23" fillId="0" borderId="2" applyAlignment="1" pivotButton="0" quotePrefix="0" xfId="0">
      <alignment horizontal="center" vertical="center" shrinkToFit="1"/>
    </xf>
    <xf numFmtId="0" fontId="28" fillId="0" borderId="28" applyAlignment="1" applyProtection="1" pivotButton="0" quotePrefix="0" xfId="0">
      <alignment horizontal="center" vertical="center" shrinkToFit="1"/>
      <protection locked="0" hidden="0"/>
    </xf>
    <xf numFmtId="171" fontId="23" fillId="0" borderId="2" applyAlignment="1" applyProtection="1" pivotButton="0" quotePrefix="0" xfId="0">
      <alignment horizontal="center" vertical="center"/>
      <protection locked="0" hidden="0"/>
    </xf>
    <xf numFmtId="171" fontId="23" fillId="0" borderId="23" applyAlignment="1" applyProtection="1" pivotButton="0" quotePrefix="0" xfId="0">
      <alignment horizontal="center" vertical="center"/>
      <protection locked="0" hidden="0"/>
    </xf>
    <xf numFmtId="0" fontId="23" fillId="0" borderId="28" applyAlignment="1" applyProtection="1" pivotButton="0" quotePrefix="0" xfId="0">
      <alignment horizontal="center" vertical="center" shrinkToFit="1"/>
      <protection locked="0" hidden="0"/>
    </xf>
    <xf numFmtId="0" fontId="25" fillId="0" borderId="0" applyAlignment="1" pivotButton="0" quotePrefix="0" xfId="0">
      <alignment horizontal="general" vertical="center"/>
    </xf>
    <xf numFmtId="0" fontId="23" fillId="0" borderId="22" applyAlignment="1" applyProtection="1" pivotButton="0" quotePrefix="0" xfId="0">
      <alignment horizontal="center" vertical="center"/>
      <protection locked="0" hidden="0"/>
    </xf>
    <xf numFmtId="0" fontId="0" fillId="0" borderId="29" applyAlignment="1" applyProtection="1" pivotButton="0" quotePrefix="0" xfId="0">
      <alignment horizontal="left" vertical="center"/>
      <protection locked="0" hidden="0"/>
    </xf>
    <xf numFmtId="0" fontId="0" fillId="0" borderId="36" applyProtection="1" pivotButton="0" quotePrefix="0" xfId="0">
      <protection locked="0" hidden="0"/>
    </xf>
    <xf numFmtId="0" fontId="0" fillId="0" borderId="60" applyProtection="1" pivotButton="0" quotePrefix="0" xfId="0">
      <protection locked="0" hidden="0"/>
    </xf>
    <xf numFmtId="172" fontId="26" fillId="0" borderId="30" applyAlignment="1" pivotButton="0" quotePrefix="0" xfId="17">
      <alignment horizontal="general" vertical="center"/>
    </xf>
    <xf numFmtId="172" fontId="26" fillId="0" borderId="25" applyAlignment="1" pivotButton="0" quotePrefix="0" xfId="17">
      <alignment horizontal="general" vertical="center"/>
    </xf>
    <xf numFmtId="0" fontId="0" fillId="0" borderId="19" applyAlignment="1" applyProtection="1" pivotButton="0" quotePrefix="0" xfId="0">
      <alignment horizontal="center" vertical="center"/>
      <protection locked="0" hidden="0"/>
    </xf>
    <xf numFmtId="0" fontId="8" fillId="5" borderId="22" applyAlignment="1" applyProtection="1" pivotButton="0" quotePrefix="0" xfId="0">
      <alignment horizontal="right" vertical="center"/>
      <protection locked="0" hidden="0"/>
    </xf>
    <xf numFmtId="0" fontId="8" fillId="5" borderId="14" applyAlignment="1" applyProtection="1" pivotButton="0" quotePrefix="0" xfId="0">
      <alignment horizontal="right" vertical="center"/>
      <protection locked="0" hidden="0"/>
    </xf>
    <xf numFmtId="171" fontId="29" fillId="5" borderId="23" applyAlignment="1" pivotButton="0" quotePrefix="0" xfId="0">
      <alignment horizontal="center" vertical="center" shrinkToFit="1"/>
    </xf>
    <xf numFmtId="0" fontId="0" fillId="0" borderId="31" applyAlignment="1" applyProtection="1" pivotButton="0" quotePrefix="0" xfId="0">
      <alignment horizontal="right" vertical="center"/>
      <protection locked="0" hidden="0"/>
    </xf>
    <xf numFmtId="0" fontId="0" fillId="0" borderId="68" applyProtection="1" pivotButton="0" quotePrefix="0" xfId="0">
      <protection locked="0" hidden="0"/>
    </xf>
    <xf numFmtId="0" fontId="21" fillId="0" borderId="15" applyAlignment="1" applyProtection="1" pivotButton="0" quotePrefix="0" xfId="0">
      <alignment horizontal="center" vertical="center"/>
      <protection locked="0" hidden="0"/>
    </xf>
    <xf numFmtId="0" fontId="22" fillId="2" borderId="32" applyAlignment="1" applyProtection="1" pivotButton="0" quotePrefix="0" xfId="0">
      <alignment horizontal="center" vertical="center" wrapText="1"/>
      <protection locked="0" hidden="0"/>
    </xf>
    <xf numFmtId="0" fontId="22" fillId="2" borderId="33" applyAlignment="1" applyProtection="1" pivotButton="0" quotePrefix="0" xfId="0">
      <alignment horizontal="center" vertical="center" wrapText="1"/>
      <protection locked="0" hidden="0"/>
    </xf>
    <xf numFmtId="0" fontId="0" fillId="0" borderId="63" applyProtection="1" pivotButton="0" quotePrefix="0" xfId="0">
      <protection locked="0" hidden="0"/>
    </xf>
    <xf numFmtId="0" fontId="22" fillId="2" borderId="33" applyAlignment="1" applyProtection="1" pivotButton="0" quotePrefix="0" xfId="0">
      <alignment horizontal="center" vertical="center"/>
      <protection locked="0" hidden="0"/>
    </xf>
    <xf numFmtId="0" fontId="0" fillId="0" borderId="69" applyProtection="1" pivotButton="0" quotePrefix="0" xfId="0">
      <protection locked="0" hidden="0"/>
    </xf>
    <xf numFmtId="0" fontId="22" fillId="2" borderId="34" applyAlignment="1" applyProtection="1" pivotButton="0" quotePrefix="0" xfId="0">
      <alignment horizontal="center" vertical="center" wrapText="1"/>
      <protection locked="0" hidden="0"/>
    </xf>
    <xf numFmtId="0" fontId="22" fillId="2" borderId="2" applyAlignment="1" applyProtection="1" pivotButton="0" quotePrefix="0" xfId="0">
      <alignment horizontal="center" vertical="center"/>
      <protection locked="0" hidden="0"/>
    </xf>
    <xf numFmtId="168" fontId="23" fillId="0" borderId="2" applyAlignment="1" applyProtection="1" pivotButton="0" quotePrefix="0" xfId="0">
      <alignment horizontal="center" vertical="center" shrinkToFit="1"/>
      <protection locked="0" hidden="0"/>
    </xf>
    <xf numFmtId="0" fontId="23" fillId="0" borderId="23" applyAlignment="1" applyProtection="1" pivotButton="0" quotePrefix="0" xfId="0">
      <alignment horizontal="center" vertical="center" wrapText="1" shrinkToFit="1"/>
      <protection locked="0" hidden="0"/>
    </xf>
    <xf numFmtId="0" fontId="0" fillId="0" borderId="70" applyProtection="1" pivotButton="0" quotePrefix="0" xfId="0">
      <protection locked="0" hidden="0"/>
    </xf>
    <xf numFmtId="0" fontId="25" fillId="0" borderId="2" applyAlignment="1" applyProtection="1" pivotButton="0" quotePrefix="0" xfId="0">
      <alignment horizontal="center" vertical="center"/>
      <protection locked="0" hidden="0"/>
    </xf>
    <xf numFmtId="0" fontId="0" fillId="0" borderId="30" applyAlignment="1" applyProtection="1" pivotButton="0" quotePrefix="0" xfId="0">
      <alignment horizontal="left" vertical="center"/>
      <protection locked="0" hidden="0"/>
    </xf>
    <xf numFmtId="0" fontId="8" fillId="0" borderId="32" applyAlignment="1" applyProtection="1" pivotButton="0" quotePrefix="0" xfId="0">
      <alignment horizontal="center" vertical="center"/>
      <protection locked="0" hidden="0"/>
    </xf>
    <xf numFmtId="0" fontId="30" fillId="0" borderId="34" applyAlignment="1" applyProtection="1" pivotButton="0" quotePrefix="0" xfId="0">
      <alignment horizontal="center" vertical="center"/>
      <protection locked="0" hidden="0"/>
    </xf>
    <xf numFmtId="0" fontId="0" fillId="0" borderId="22" applyAlignment="1" applyProtection="1" pivotButton="0" quotePrefix="0" xfId="0">
      <alignment horizontal="center" vertical="center" wrapText="1"/>
      <protection locked="0" hidden="0"/>
    </xf>
    <xf numFmtId="0" fontId="0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2" applyAlignment="1" applyProtection="1" pivotButton="0" quotePrefix="0" xfId="0">
      <alignment horizontal="center" vertical="center" shrinkToFit="1"/>
      <protection locked="0" hidden="0"/>
    </xf>
    <xf numFmtId="0" fontId="0" fillId="0" borderId="2" applyAlignment="1" applyProtection="1" pivotButton="0" quotePrefix="0" xfId="0">
      <alignment horizontal="center" vertical="center"/>
      <protection locked="0" hidden="0"/>
    </xf>
    <xf numFmtId="0" fontId="0" fillId="0" borderId="4" applyAlignment="1" applyProtection="1" pivotButton="0" quotePrefix="0" xfId="0">
      <alignment horizontal="center" vertical="center" wrapText="1"/>
      <protection locked="0" hidden="0"/>
    </xf>
    <xf numFmtId="0" fontId="0" fillId="0" borderId="23" applyAlignment="1" applyProtection="1" pivotButton="0" quotePrefix="0" xfId="0">
      <alignment horizontal="center" vertical="center" wrapText="1"/>
      <protection locked="0" hidden="0"/>
    </xf>
    <xf numFmtId="0" fontId="19" fillId="0" borderId="22" applyAlignment="1" applyProtection="1" pivotButton="0" quotePrefix="0" xfId="0">
      <alignment horizontal="general" vertical="center"/>
      <protection locked="0" hidden="0"/>
    </xf>
    <xf numFmtId="0" fontId="19" fillId="0" borderId="2" applyAlignment="1" applyProtection="1" pivotButton="0" quotePrefix="0" xfId="0">
      <alignment horizontal="center" vertical="center"/>
      <protection locked="0" hidden="0"/>
    </xf>
    <xf numFmtId="0" fontId="19" fillId="0" borderId="2" applyAlignment="1" applyProtection="1" pivotButton="0" quotePrefix="0" xfId="0">
      <alignment horizontal="general" vertical="center"/>
      <protection locked="0" hidden="0"/>
    </xf>
    <xf numFmtId="0" fontId="19" fillId="0" borderId="4" applyAlignment="1" applyProtection="1" pivotButton="0" quotePrefix="0" xfId="0">
      <alignment horizontal="general" vertical="center"/>
      <protection locked="0" hidden="0"/>
    </xf>
    <xf numFmtId="0" fontId="19" fillId="0" borderId="23" applyAlignment="1" applyProtection="1" pivotButton="0" quotePrefix="0" xfId="0">
      <alignment horizontal="general" vertical="center"/>
      <protection locked="0" hidden="0"/>
    </xf>
    <xf numFmtId="0" fontId="0" fillId="0" borderId="35" applyAlignment="1" applyProtection="1" pivotButton="0" quotePrefix="0" xfId="0">
      <alignment horizontal="center" vertical="center"/>
      <protection locked="0" hidden="0"/>
    </xf>
    <xf numFmtId="0" fontId="8" fillId="0" borderId="20" applyAlignment="1" applyProtection="1" pivotButton="0" quotePrefix="0" xfId="0">
      <alignment horizontal="center" vertical="center"/>
      <protection locked="0" hidden="0"/>
    </xf>
    <xf numFmtId="0" fontId="30" fillId="0" borderId="21" applyAlignment="1" applyProtection="1" pivotButton="0" quotePrefix="0" xfId="0">
      <alignment horizontal="center" vertical="center"/>
      <protection locked="0" hidden="0"/>
    </xf>
    <xf numFmtId="0" fontId="0" fillId="0" borderId="51" applyProtection="1" pivotButton="0" quotePrefix="0" xfId="0">
      <protection locked="0" hidden="0"/>
    </xf>
    <xf numFmtId="0" fontId="31" fillId="0" borderId="22" applyAlignment="1" applyProtection="1" pivotButton="0" quotePrefix="0" xfId="0">
      <alignment horizontal="center" vertical="center"/>
      <protection locked="0" hidden="0"/>
    </xf>
    <xf numFmtId="0" fontId="19" fillId="0" borderId="4" applyAlignment="1" applyProtection="1" pivotButton="0" quotePrefix="0" xfId="0">
      <alignment horizontal="center" vertical="center"/>
      <protection locked="0" hidden="0"/>
    </xf>
    <xf numFmtId="173" fontId="19" fillId="0" borderId="23" applyAlignment="1" applyProtection="1" pivotButton="0" quotePrefix="0" xfId="17">
      <alignment horizontal="general" vertical="center"/>
      <protection locked="0" hidden="0"/>
    </xf>
    <xf numFmtId="0" fontId="0" fillId="0" borderId="36" applyAlignment="1" applyProtection="1" pivotButton="0" quotePrefix="0" xfId="0">
      <alignment horizontal="left" vertical="center"/>
      <protection locked="0" hidden="0"/>
    </xf>
    <xf numFmtId="173" fontId="0" fillId="0" borderId="25" applyAlignment="1" applyProtection="1" pivotButton="0" quotePrefix="0" xfId="17">
      <alignment horizontal="general" vertical="center"/>
      <protection locked="0" hidden="0"/>
    </xf>
    <xf numFmtId="0" fontId="8" fillId="0" borderId="37" applyAlignment="1" applyProtection="1" pivotButton="0" quotePrefix="0" xfId="0">
      <alignment horizontal="center" vertical="center"/>
      <protection locked="0" hidden="0"/>
    </xf>
    <xf numFmtId="0" fontId="0" fillId="0" borderId="61" applyProtection="1" pivotButton="0" quotePrefix="0" xfId="0">
      <protection locked="0" hidden="0"/>
    </xf>
    <xf numFmtId="0" fontId="18" fillId="0" borderId="19" applyAlignment="1" applyProtection="1" pivotButton="0" quotePrefix="0" xfId="0">
      <alignment horizontal="center" vertical="center" wrapText="1"/>
      <protection locked="0" hidden="0"/>
    </xf>
    <xf numFmtId="0" fontId="13" fillId="0" borderId="35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horizontal="general" vertical="bottom"/>
    </xf>
    <xf numFmtId="0" fontId="0" fillId="0" borderId="33" applyAlignment="1" applyProtection="1" pivotButton="0" quotePrefix="0" xfId="0">
      <alignment horizontal="general" vertical="center"/>
      <protection locked="0" hidden="0"/>
    </xf>
    <xf numFmtId="0" fontId="0" fillId="0" borderId="32" applyAlignment="1" applyProtection="1" pivotButton="0" quotePrefix="0" xfId="0">
      <alignment horizontal="center" vertical="center"/>
      <protection locked="0" hidden="0"/>
    </xf>
    <xf numFmtId="0" fontId="32" fillId="0" borderId="33" applyAlignment="1" applyProtection="1" pivotButton="0" quotePrefix="0" xfId="0">
      <alignment horizontal="center" vertical="center"/>
      <protection locked="0" hidden="0"/>
    </xf>
    <xf numFmtId="2" fontId="0" fillId="0" borderId="33" applyAlignment="1" applyProtection="1" pivotButton="0" quotePrefix="0" xfId="0">
      <alignment horizontal="center" vertical="center" wrapText="1"/>
      <protection locked="0" hidden="0"/>
    </xf>
    <xf numFmtId="2" fontId="33" fillId="0" borderId="33" applyAlignment="1" applyProtection="1" pivotButton="0" quotePrefix="0" xfId="0">
      <alignment horizontal="center" vertical="center" wrapText="1"/>
      <protection locked="0" hidden="0"/>
    </xf>
    <xf numFmtId="0" fontId="0" fillId="0" borderId="33" applyAlignment="1" applyProtection="1" pivotButton="0" quotePrefix="0" xfId="0">
      <alignment horizontal="center" vertical="center"/>
      <protection locked="0" hidden="0"/>
    </xf>
    <xf numFmtId="0" fontId="34" fillId="0" borderId="2" applyAlignment="1" pivotButton="0" quotePrefix="0" xfId="0">
      <alignment horizontal="center" vertical="center" shrinkToFit="1"/>
    </xf>
    <xf numFmtId="0" fontId="0" fillId="0" borderId="22" applyAlignment="1" applyProtection="1" pivotButton="0" quotePrefix="0" xfId="0">
      <alignment horizontal="left" vertical="center"/>
      <protection locked="0" hidden="0"/>
    </xf>
    <xf numFmtId="0" fontId="18" fillId="0" borderId="2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2" applyAlignment="1" applyProtection="1" pivotButton="0" quotePrefix="0" xfId="0">
      <alignment horizontal="general" vertical="center"/>
      <protection locked="0" hidden="0"/>
    </xf>
    <xf numFmtId="0" fontId="34" fillId="0" borderId="2" applyAlignment="1" applyProtection="1" pivotButton="0" quotePrefix="0" xfId="0">
      <alignment horizontal="general" vertical="center" shrinkToFit="1"/>
      <protection locked="0" hidden="0"/>
    </xf>
    <xf numFmtId="49" fontId="34" fillId="0" borderId="2" applyAlignment="1" pivotButton="0" quotePrefix="0" xfId="0">
      <alignment horizontal="center" vertical="center" shrinkToFit="1"/>
    </xf>
    <xf numFmtId="0" fontId="30" fillId="0" borderId="2" applyAlignment="1" applyProtection="1" pivotButton="0" quotePrefix="0" xfId="0">
      <alignment horizontal="left" vertical="center"/>
      <protection locked="0" hidden="0"/>
    </xf>
    <xf numFmtId="0" fontId="0" fillId="0" borderId="22" applyAlignment="1" applyProtection="1" pivotButton="0" quotePrefix="0" xfId="0">
      <alignment horizontal="left" vertical="center" wrapText="1"/>
      <protection locked="0" hidden="0"/>
    </xf>
    <xf numFmtId="49" fontId="18" fillId="0" borderId="2" applyAlignment="1" pivotButton="0" quotePrefix="0" xfId="0">
      <alignment horizontal="center" vertical="center" wrapText="1"/>
    </xf>
    <xf numFmtId="0" fontId="0" fillId="0" borderId="2" applyAlignment="1" applyProtection="1" pivotButton="0" quotePrefix="0" xfId="0">
      <alignment horizontal="left" vertical="center" wrapText="1"/>
      <protection locked="0" hidden="0"/>
    </xf>
    <xf numFmtId="0" fontId="18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4" fillId="0" borderId="2" applyAlignment="1" applyProtection="1" pivotButton="0" quotePrefix="0" xfId="0">
      <alignment horizontal="center" vertical="center"/>
      <protection locked="0" hidden="0"/>
    </xf>
    <xf numFmtId="0" fontId="30" fillId="0" borderId="2" applyAlignment="1" applyProtection="1" pivotButton="0" quotePrefix="0" xfId="0">
      <alignment horizontal="center" vertical="center"/>
      <protection locked="0" hidden="0"/>
    </xf>
    <xf numFmtId="0" fontId="0" fillId="0" borderId="40" applyAlignment="1" applyProtection="1" pivotButton="0" quotePrefix="0" xfId="0">
      <alignment horizontal="general" vertical="center"/>
      <protection locked="0" hidden="0"/>
    </xf>
    <xf numFmtId="0" fontId="0" fillId="0" borderId="39" applyAlignment="1" applyProtection="1" pivotButton="0" quotePrefix="0" xfId="0">
      <alignment horizontal="center" vertical="center"/>
      <protection locked="0" hidden="0"/>
    </xf>
    <xf numFmtId="0" fontId="0" fillId="0" borderId="71" applyProtection="1" pivotButton="0" quotePrefix="0" xfId="0">
      <protection locked="0" hidden="0"/>
    </xf>
    <xf numFmtId="0" fontId="0" fillId="0" borderId="40" applyAlignment="1" applyProtection="1" pivotButton="0" quotePrefix="0" xfId="0">
      <alignment horizontal="center" vertical="center"/>
      <protection locked="0" hidden="0"/>
    </xf>
    <xf numFmtId="0" fontId="21" fillId="0" borderId="41" applyAlignment="1" applyProtection="1" pivotButton="0" quotePrefix="0" xfId="0">
      <alignment horizontal="center" vertical="center"/>
      <protection locked="0" hidden="0"/>
    </xf>
    <xf numFmtId="0" fontId="0" fillId="0" borderId="42" applyAlignment="1" applyProtection="1" pivotButton="0" quotePrefix="0" xfId="0">
      <alignment horizontal="general" vertical="center"/>
      <protection locked="0" hidden="0"/>
    </xf>
    <xf numFmtId="0" fontId="22" fillId="0" borderId="32" applyAlignment="1" applyProtection="1" pivotButton="0" quotePrefix="0" xfId="0">
      <alignment horizontal="center" vertical="center" wrapText="1"/>
      <protection locked="0" hidden="0"/>
    </xf>
    <xf numFmtId="0" fontId="22" fillId="0" borderId="33" applyAlignment="1" applyProtection="1" pivotButton="0" quotePrefix="0" xfId="0">
      <alignment horizontal="center" vertical="center" wrapText="1"/>
      <protection locked="0" hidden="0"/>
    </xf>
    <xf numFmtId="0" fontId="0" fillId="0" borderId="34" applyAlignment="1" applyProtection="1" pivotButton="0" quotePrefix="0" xfId="0">
      <alignment horizontal="center" vertical="center" wrapText="1"/>
      <protection locked="0" hidden="0"/>
    </xf>
    <xf numFmtId="49" fontId="0" fillId="0" borderId="22" applyAlignment="1" applyProtection="1" pivotButton="0" quotePrefix="0" xfId="17">
      <alignment horizontal="center" vertical="center"/>
      <protection locked="0" hidden="0"/>
    </xf>
    <xf numFmtId="0" fontId="0" fillId="0" borderId="4" applyAlignment="1" applyProtection="1" pivotButton="0" quotePrefix="0" xfId="17">
      <alignment horizontal="center" vertical="center"/>
      <protection locked="0" hidden="0"/>
    </xf>
    <xf numFmtId="175" fontId="19" fillId="0" borderId="2" applyAlignment="1" applyProtection="1" pivotButton="0" quotePrefix="0" xfId="17">
      <alignment horizontal="center" vertical="center"/>
      <protection locked="0" hidden="0"/>
    </xf>
    <xf numFmtId="173" fontId="0" fillId="0" borderId="28" applyAlignment="1" applyProtection="1" pivotButton="0" quotePrefix="0" xfId="17">
      <alignment horizontal="general" vertical="center"/>
      <protection locked="0" hidden="0"/>
    </xf>
    <xf numFmtId="173" fontId="0" fillId="0" borderId="2" applyAlignment="1" applyProtection="1" pivotButton="0" quotePrefix="0" xfId="17">
      <alignment horizontal="general" vertical="center"/>
      <protection locked="0" hidden="0"/>
    </xf>
    <xf numFmtId="173" fontId="0" fillId="0" borderId="23" applyAlignment="1" applyProtection="1" pivotButton="0" quotePrefix="0" xfId="0">
      <alignment horizontal="general" vertical="center"/>
      <protection locked="0" hidden="0"/>
    </xf>
    <xf numFmtId="0" fontId="0" fillId="0" borderId="22" applyAlignment="1" applyProtection="1" pivotButton="0" quotePrefix="0" xfId="17">
      <alignment horizontal="center" vertical="center"/>
      <protection locked="0" hidden="0"/>
    </xf>
    <xf numFmtId="0" fontId="0" fillId="0" borderId="43" applyAlignment="1" applyProtection="1" pivotButton="0" quotePrefix="0" xfId="17">
      <alignment horizontal="center" vertical="center"/>
      <protection locked="0" hidden="0"/>
    </xf>
    <xf numFmtId="0" fontId="0" fillId="0" borderId="5" applyAlignment="1" applyProtection="1" pivotButton="0" quotePrefix="0" xfId="17">
      <alignment horizontal="center" vertical="center"/>
      <protection locked="0" hidden="0"/>
    </xf>
    <xf numFmtId="175" fontId="19" fillId="0" borderId="3" applyAlignment="1" applyProtection="1" pivotButton="0" quotePrefix="0" xfId="17">
      <alignment horizontal="center" vertical="center"/>
      <protection locked="0" hidden="0"/>
    </xf>
    <xf numFmtId="173" fontId="0" fillId="0" borderId="7" applyAlignment="1" applyProtection="1" pivotButton="0" quotePrefix="0" xfId="17">
      <alignment horizontal="general" vertical="center"/>
      <protection locked="0" hidden="0"/>
    </xf>
    <xf numFmtId="173" fontId="0" fillId="0" borderId="3" applyAlignment="1" applyProtection="1" pivotButton="0" quotePrefix="0" xfId="17">
      <alignment horizontal="general" vertical="center"/>
      <protection locked="0" hidden="0"/>
    </xf>
    <xf numFmtId="173" fontId="0" fillId="0" borderId="30" applyAlignment="1" applyProtection="1" pivotButton="0" quotePrefix="0" xfId="17">
      <alignment horizontal="general" vertical="center"/>
      <protection locked="0" hidden="0"/>
    </xf>
    <xf numFmtId="0" fontId="0" fillId="6" borderId="32" applyAlignment="1" applyProtection="1" pivotButton="0" quotePrefix="0" xfId="0">
      <alignment horizontal="center" vertical="center"/>
      <protection locked="0" hidden="0"/>
    </xf>
    <xf numFmtId="0" fontId="0" fillId="6" borderId="44" applyAlignment="1" applyProtection="1" pivotButton="0" quotePrefix="0" xfId="0">
      <alignment horizontal="center" vertical="center"/>
      <protection locked="0" hidden="0"/>
    </xf>
    <xf numFmtId="0" fontId="0" fillId="6" borderId="33" applyAlignment="1" applyProtection="1" pivotButton="0" quotePrefix="0" xfId="0">
      <alignment horizontal="center" vertical="center"/>
      <protection locked="0" hidden="0"/>
    </xf>
    <xf numFmtId="0" fontId="19" fillId="6" borderId="33" applyAlignment="1" applyProtection="1" pivotButton="0" quotePrefix="0" xfId="17">
      <alignment horizontal="center" vertical="center"/>
      <protection locked="0" hidden="0"/>
    </xf>
    <xf numFmtId="175" fontId="19" fillId="6" borderId="44" applyAlignment="1" applyProtection="1" pivotButton="0" quotePrefix="0" xfId="17">
      <alignment horizontal="center" vertical="center"/>
      <protection locked="0" hidden="0"/>
    </xf>
    <xf numFmtId="173" fontId="0" fillId="6" borderId="34" applyAlignment="1" applyProtection="1" pivotButton="0" quotePrefix="0" xfId="17">
      <alignment horizontal="general" vertical="center"/>
      <protection locked="0" hidden="0"/>
    </xf>
    <xf numFmtId="173" fontId="0" fillId="0" borderId="45" applyAlignment="1" applyProtection="1" pivotButton="0" quotePrefix="0" xfId="17">
      <alignment horizontal="general" vertical="center"/>
      <protection locked="0" hidden="0"/>
    </xf>
    <xf numFmtId="173" fontId="0" fillId="0" borderId="46" applyAlignment="1" applyProtection="1" pivotButton="0" quotePrefix="0" xfId="17">
      <alignment horizontal="general" vertical="center"/>
      <protection locked="0" hidden="0"/>
    </xf>
    <xf numFmtId="173" fontId="0" fillId="0" borderId="47" applyAlignment="1" applyProtection="1" pivotButton="0" quotePrefix="0" xfId="17">
      <alignment horizontal="general" vertical="center"/>
      <protection locked="0" hidden="0"/>
    </xf>
    <xf numFmtId="0" fontId="0" fillId="6" borderId="22" applyAlignment="1" applyProtection="1" pivotButton="0" quotePrefix="0" xfId="0">
      <alignment horizontal="center" vertical="center"/>
      <protection locked="0" hidden="0"/>
    </xf>
    <xf numFmtId="0" fontId="0" fillId="6" borderId="4" applyAlignment="1" applyProtection="1" pivotButton="0" quotePrefix="0" xfId="0">
      <alignment horizontal="center" vertical="center"/>
      <protection locked="0" hidden="0"/>
    </xf>
    <xf numFmtId="0" fontId="0" fillId="6" borderId="10" applyAlignment="1" applyProtection="1" pivotButton="0" quotePrefix="0" xfId="0">
      <alignment horizontal="center" vertical="center"/>
      <protection locked="0" hidden="0"/>
    </xf>
    <xf numFmtId="0" fontId="19" fillId="6" borderId="2" applyAlignment="1" applyProtection="1" pivotButton="0" quotePrefix="0" xfId="17">
      <alignment horizontal="center" vertical="center"/>
      <protection locked="0" hidden="0"/>
    </xf>
    <xf numFmtId="175" fontId="19" fillId="6" borderId="14" applyAlignment="1" applyProtection="1" pivotButton="0" quotePrefix="0" xfId="17">
      <alignment horizontal="center" vertical="center"/>
      <protection locked="0" hidden="0"/>
    </xf>
    <xf numFmtId="173" fontId="0" fillId="6" borderId="23" applyAlignment="1" applyProtection="1" pivotButton="0" quotePrefix="0" xfId="17">
      <alignment horizontal="general" vertical="center"/>
      <protection locked="0" hidden="0"/>
    </xf>
    <xf numFmtId="173" fontId="0" fillId="0" borderId="0" applyAlignment="1" applyProtection="1" pivotButton="0" quotePrefix="0" xfId="17">
      <alignment horizontal="general" vertical="center"/>
      <protection locked="0" hidden="0"/>
    </xf>
    <xf numFmtId="173" fontId="0" fillId="0" borderId="48" applyAlignment="1" applyProtection="1" pivotButton="0" quotePrefix="0" xfId="17">
      <alignment horizontal="general" vertical="center"/>
      <protection locked="0" hidden="0"/>
    </xf>
    <xf numFmtId="173" fontId="0" fillId="0" borderId="49" applyAlignment="1" applyProtection="1" pivotButton="0" quotePrefix="0" xfId="17">
      <alignment horizontal="general" vertical="center"/>
      <protection locked="0" hidden="0"/>
    </xf>
    <xf numFmtId="0" fontId="0" fillId="6" borderId="2" applyAlignment="1" applyProtection="1" pivotButton="0" quotePrefix="0" xfId="0">
      <alignment horizontal="center" vertical="center"/>
      <protection locked="0" hidden="0"/>
    </xf>
    <xf numFmtId="175" fontId="19" fillId="6" borderId="4" applyAlignment="1" applyProtection="1" pivotButton="0" quotePrefix="0" xfId="17">
      <alignment horizontal="center" vertical="center"/>
      <protection locked="0" hidden="0"/>
    </xf>
    <xf numFmtId="0" fontId="0" fillId="6" borderId="29" applyAlignment="1" applyProtection="1" pivotButton="0" quotePrefix="0" xfId="0">
      <alignment horizontal="center" vertical="center"/>
      <protection locked="0" hidden="0"/>
    </xf>
    <xf numFmtId="0" fontId="0" fillId="6" borderId="50" applyAlignment="1" applyProtection="1" pivotButton="0" quotePrefix="0" xfId="0">
      <alignment horizontal="center" vertical="center"/>
      <protection locked="0" hidden="0"/>
    </xf>
    <xf numFmtId="0" fontId="0" fillId="6" borderId="30" applyAlignment="1" applyProtection="1" pivotButton="0" quotePrefix="0" xfId="0">
      <alignment horizontal="center" vertical="center"/>
      <protection locked="0" hidden="0"/>
    </xf>
    <xf numFmtId="0" fontId="19" fillId="6" borderId="30" applyAlignment="1" applyProtection="1" pivotButton="0" quotePrefix="0" xfId="17">
      <alignment horizontal="center" vertical="center"/>
      <protection locked="0" hidden="0"/>
    </xf>
    <xf numFmtId="175" fontId="19" fillId="6" borderId="50" applyAlignment="1" applyProtection="1" pivotButton="0" quotePrefix="0" xfId="17">
      <alignment horizontal="center" vertical="center"/>
      <protection locked="0" hidden="0"/>
    </xf>
    <xf numFmtId="173" fontId="0" fillId="6" borderId="25" applyAlignment="1" applyProtection="1" pivotButton="0" quotePrefix="0" xfId="17">
      <alignment horizontal="general" vertical="center"/>
      <protection locked="0" hidden="0"/>
    </xf>
    <xf numFmtId="0" fontId="0" fillId="0" borderId="51" applyAlignment="1" applyProtection="1" pivotButton="0" quotePrefix="0" xfId="0">
      <alignment horizontal="center" vertical="center"/>
      <protection locked="0" hidden="0"/>
    </xf>
    <xf numFmtId="169" fontId="26" fillId="2" borderId="48" applyAlignment="1" applyProtection="1" pivotButton="0" quotePrefix="0" xfId="17">
      <alignment horizontal="general" vertical="center"/>
      <protection locked="0" hidden="0"/>
    </xf>
    <xf numFmtId="0" fontId="0" fillId="0" borderId="47" applyAlignment="1" applyProtection="1" pivotButton="0" quotePrefix="0" xfId="0">
      <alignment horizontal="general" vertical="center"/>
      <protection locked="0" hidden="0"/>
    </xf>
    <xf numFmtId="169" fontId="26" fillId="2" borderId="45" applyAlignment="1" applyProtection="1" pivotButton="0" quotePrefix="0" xfId="17">
      <alignment horizontal="general" vertical="center"/>
      <protection locked="0" hidden="0"/>
    </xf>
    <xf numFmtId="169" fontId="26" fillId="2" borderId="15" applyAlignment="1" applyProtection="1" pivotButton="0" quotePrefix="0" xfId="17">
      <alignment horizontal="general" vertical="center"/>
      <protection locked="0" hidden="0"/>
    </xf>
    <xf numFmtId="173" fontId="26" fillId="2" borderId="47" applyAlignment="1" applyProtection="1" pivotButton="0" quotePrefix="0" xfId="0">
      <alignment horizontal="center" vertical="center"/>
      <protection locked="0" hidden="0"/>
    </xf>
    <xf numFmtId="0" fontId="0" fillId="0" borderId="22" applyAlignment="1" applyProtection="1" pivotButton="0" quotePrefix="0" xfId="0">
      <alignment horizontal="center" vertical="center"/>
      <protection locked="0" hidden="0"/>
    </xf>
    <xf numFmtId="0" fontId="22" fillId="0" borderId="2" applyAlignment="1" applyProtection="1" pivotButton="0" quotePrefix="0" xfId="0">
      <alignment horizontal="center" vertical="center"/>
      <protection locked="0" hidden="0"/>
    </xf>
    <xf numFmtId="175" fontId="0" fillId="0" borderId="4" applyAlignment="1" applyProtection="1" pivotButton="0" quotePrefix="0" xfId="17">
      <alignment horizontal="center" vertical="center"/>
      <protection locked="0" hidden="0"/>
    </xf>
    <xf numFmtId="169" fontId="35" fillId="0" borderId="15" applyAlignment="1" applyProtection="1" pivotButton="0" quotePrefix="0" xfId="17">
      <alignment horizontal="center" vertical="center" wrapText="1"/>
      <protection locked="0" hidden="0"/>
    </xf>
    <xf numFmtId="0" fontId="0" fillId="5" borderId="43" applyAlignment="1" applyProtection="1" pivotButton="0" quotePrefix="0" xfId="0">
      <alignment horizontal="center" vertical="center"/>
      <protection locked="0" hidden="0"/>
    </xf>
    <xf numFmtId="176" fontId="0" fillId="5" borderId="5" applyAlignment="1" applyProtection="1" pivotButton="0" quotePrefix="0" xfId="17">
      <alignment horizontal="center" vertical="center"/>
      <protection locked="0" hidden="0"/>
    </xf>
    <xf numFmtId="169" fontId="9" fillId="5" borderId="37" applyAlignment="1" applyProtection="1" pivotButton="0" quotePrefix="0" xfId="0">
      <alignment horizontal="center" vertical="center"/>
      <protection locked="0" hidden="0"/>
    </xf>
    <xf numFmtId="169" fontId="29" fillId="5" borderId="52" applyAlignment="1" applyProtection="1" pivotButton="0" quotePrefix="0" xfId="0">
      <alignment horizontal="general" vertical="center"/>
      <protection locked="0" hidden="0"/>
    </xf>
    <xf numFmtId="169" fontId="29" fillId="5" borderId="37" applyAlignment="1" applyProtection="1" pivotButton="0" quotePrefix="0" xfId="0">
      <alignment horizontal="general" vertical="center"/>
      <protection locked="0" hidden="0"/>
    </xf>
    <xf numFmtId="169" fontId="9" fillId="5" borderId="47" applyAlignment="1" applyProtection="1" pivotButton="0" quotePrefix="0" xfId="0">
      <alignment horizontal="center" vertical="center"/>
      <protection locked="0" hidden="0"/>
    </xf>
    <xf numFmtId="0" fontId="0" fillId="0" borderId="15" applyAlignment="1" applyProtection="1" pivotButton="0" quotePrefix="0" xfId="0">
      <alignment horizontal="center" vertical="center"/>
      <protection locked="0" hidden="0"/>
    </xf>
    <xf numFmtId="0" fontId="22" fillId="2" borderId="43" applyAlignment="1" applyProtection="1" pivotButton="0" quotePrefix="0" xfId="0">
      <alignment horizontal="center" vertical="center" wrapText="1"/>
      <protection locked="0" hidden="0"/>
    </xf>
    <xf numFmtId="0" fontId="22" fillId="2" borderId="53" applyAlignment="1" applyProtection="1" pivotButton="0" quotePrefix="0" xfId="0">
      <alignment horizontal="center" vertical="center" wrapText="1"/>
      <protection locked="0" hidden="0"/>
    </xf>
    <xf numFmtId="0" fontId="0" fillId="0" borderId="41" applyProtection="1" pivotButton="0" quotePrefix="0" xfId="0">
      <protection locked="0" hidden="0"/>
    </xf>
    <xf numFmtId="0" fontId="19" fillId="0" borderId="22" applyAlignment="1" applyProtection="1" pivotButton="0" quotePrefix="0" xfId="0">
      <alignment horizontal="center" vertical="center"/>
      <protection locked="0" hidden="0"/>
    </xf>
    <xf numFmtId="0" fontId="13" fillId="0" borderId="2" applyAlignment="1" applyProtection="1" pivotButton="0" quotePrefix="0" xfId="0">
      <alignment horizontal="general" vertical="center"/>
      <protection locked="0" hidden="0"/>
    </xf>
    <xf numFmtId="0" fontId="13" fillId="0" borderId="2" applyAlignment="1" applyProtection="1" pivotButton="0" quotePrefix="0" xfId="0">
      <alignment horizontal="center" vertical="center"/>
      <protection locked="0" hidden="0"/>
    </xf>
    <xf numFmtId="169" fontId="19" fillId="0" borderId="23" applyAlignment="1" applyProtection="1" pivotButton="0" quotePrefix="0" xfId="0">
      <alignment horizontal="general" vertical="center"/>
      <protection locked="0" hidden="0"/>
    </xf>
    <xf numFmtId="169" fontId="26" fillId="0" borderId="54" applyAlignment="1" applyProtection="1" pivotButton="0" quotePrefix="0" xfId="17">
      <alignment horizontal="general" vertical="center" shrinkToFit="1"/>
      <protection locked="0" hidden="0"/>
    </xf>
    <xf numFmtId="0" fontId="22" fillId="0" borderId="16" applyAlignment="1" applyProtection="1" pivotButton="0" quotePrefix="0" xfId="0">
      <alignment horizontal="center" vertical="center" wrapText="1"/>
      <protection locked="0" hidden="0"/>
    </xf>
    <xf numFmtId="0" fontId="22" fillId="0" borderId="55" applyAlignment="1" applyProtection="1" pivotButton="0" quotePrefix="0" xfId="0">
      <alignment horizontal="center" vertical="center" wrapText="1"/>
      <protection locked="0" hidden="0"/>
    </xf>
    <xf numFmtId="0" fontId="22" fillId="0" borderId="17" applyAlignment="1" applyProtection="1" pivotButton="0" quotePrefix="0" xfId="0">
      <alignment horizontal="center" vertical="center" wrapText="1"/>
      <protection locked="0" hidden="0"/>
    </xf>
    <xf numFmtId="0" fontId="22" fillId="0" borderId="56" applyAlignment="1" applyProtection="1" pivotButton="0" quotePrefix="0" xfId="0">
      <alignment horizontal="center" vertical="center" wrapText="1"/>
      <protection locked="0" hidden="0"/>
    </xf>
    <xf numFmtId="0" fontId="22" fillId="0" borderId="18" applyAlignment="1" applyProtection="1" pivotButton="0" quotePrefix="0" xfId="0">
      <alignment horizontal="center" vertical="center" wrapText="1"/>
      <protection locked="0" hidden="0"/>
    </xf>
    <xf numFmtId="0" fontId="0" fillId="0" borderId="24" applyProtection="1" pivotButton="0" quotePrefix="0" xfId="0">
      <protection locked="0" hidden="0"/>
    </xf>
    <xf numFmtId="0" fontId="0" fillId="0" borderId="72" applyProtection="1" pivotButton="0" quotePrefix="0" xfId="0">
      <protection locked="0" hidden="0"/>
    </xf>
    <xf numFmtId="0" fontId="0" fillId="0" borderId="73" applyProtection="1" pivotButton="0" quotePrefix="0" xfId="0">
      <protection locked="0" hidden="0"/>
    </xf>
    <xf numFmtId="0" fontId="0" fillId="0" borderId="54" applyProtection="1" pivotButton="0" quotePrefix="0" xfId="0">
      <protection locked="0" hidden="0"/>
    </xf>
    <xf numFmtId="0" fontId="20" fillId="0" borderId="0" applyAlignment="1" applyProtection="1" pivotButton="0" quotePrefix="0" xfId="0">
      <alignment horizontal="general" vertical="center"/>
      <protection locked="0" hidden="0"/>
    </xf>
    <xf numFmtId="0" fontId="19" fillId="0" borderId="20" applyAlignment="1" applyProtection="1" pivotButton="0" quotePrefix="0" xfId="0">
      <alignment horizontal="center" vertical="center"/>
      <protection locked="0" hidden="0"/>
    </xf>
    <xf numFmtId="0" fontId="19" fillId="0" borderId="10" applyAlignment="1" applyProtection="1" pivotButton="0" quotePrefix="0" xfId="0">
      <alignment horizontal="general" vertical="center" shrinkToFit="1"/>
      <protection locked="0" hidden="0"/>
    </xf>
    <xf numFmtId="0" fontId="19" fillId="0" borderId="2" applyAlignment="1" applyProtection="1" pivotButton="0" quotePrefix="0" xfId="0">
      <alignment horizontal="center" vertical="center" shrinkToFit="1"/>
      <protection locked="0" hidden="0"/>
    </xf>
    <xf numFmtId="0" fontId="19" fillId="0" borderId="2" applyAlignment="1" pivotButton="0" quotePrefix="0" xfId="0">
      <alignment horizontal="center" vertical="center" shrinkToFit="1"/>
    </xf>
    <xf numFmtId="0" fontId="19" fillId="0" borderId="13" applyAlignment="1" applyProtection="1" pivotButton="0" quotePrefix="0" xfId="0">
      <alignment horizontal="center" vertical="center" shrinkToFit="1"/>
      <protection locked="0" hidden="0"/>
    </xf>
    <xf numFmtId="0" fontId="19" fillId="0" borderId="12" applyAlignment="1" applyProtection="1" pivotButton="0" quotePrefix="0" xfId="0">
      <alignment horizontal="center" vertical="center"/>
      <protection locked="0" hidden="0"/>
    </xf>
    <xf numFmtId="0" fontId="19" fillId="0" borderId="13" applyAlignment="1" applyProtection="1" pivotButton="0" quotePrefix="0" xfId="0">
      <alignment horizontal="center" vertical="center"/>
      <protection locked="0" hidden="0"/>
    </xf>
    <xf numFmtId="169" fontId="0" fillId="0" borderId="21" applyAlignment="1" applyProtection="1" pivotButton="0" quotePrefix="0" xfId="0">
      <alignment horizontal="center" vertical="center"/>
      <protection locked="0" hidden="0"/>
    </xf>
    <xf numFmtId="0" fontId="20" fillId="0" borderId="0" applyAlignment="1" applyProtection="1" pivotButton="0" quotePrefix="0" xfId="0">
      <alignment horizontal="center" vertical="center"/>
      <protection locked="0" hidden="0"/>
    </xf>
    <xf numFmtId="0" fontId="19" fillId="0" borderId="4" applyAlignment="1" applyProtection="1" pivotButton="0" quotePrefix="0" xfId="0">
      <alignment horizontal="general" vertical="center" shrinkToFit="1"/>
      <protection locked="0" hidden="0"/>
    </xf>
    <xf numFmtId="0" fontId="19" fillId="0" borderId="28" applyAlignment="1" applyProtection="1" pivotButton="0" quotePrefix="0" xfId="0">
      <alignment horizontal="center" vertical="center"/>
      <protection locked="0" hidden="0"/>
    </xf>
    <xf numFmtId="169" fontId="26" fillId="0" borderId="25" applyAlignment="1" applyProtection="1" pivotButton="0" quotePrefix="0" xfId="17">
      <alignment horizontal="general" vertical="center" shrinkToFit="1"/>
      <protection locked="0" hidden="0"/>
    </xf>
    <xf numFmtId="0" fontId="0" fillId="0" borderId="37" applyAlignment="1" applyProtection="1" pivotButton="0" quotePrefix="0" xfId="0">
      <alignment horizontal="center" vertical="center"/>
      <protection locked="0" hidden="0"/>
    </xf>
    <xf numFmtId="0" fontId="22" fillId="0" borderId="29" applyAlignment="1" applyProtection="1" pivotButton="0" quotePrefix="0" xfId="0">
      <alignment horizontal="center" vertical="center" wrapText="1"/>
      <protection locked="0" hidden="0"/>
    </xf>
    <xf numFmtId="0" fontId="22" fillId="0" borderId="30" applyAlignment="1" applyProtection="1" pivotButton="0" quotePrefix="0" xfId="0">
      <alignment horizontal="center" vertical="center" wrapText="1"/>
      <protection locked="0" hidden="0"/>
    </xf>
    <xf numFmtId="0" fontId="22" fillId="0" borderId="25" applyAlignment="1" applyProtection="1" pivotButton="0" quotePrefix="0" xfId="0">
      <alignment horizontal="center" vertical="center" wrapText="1"/>
      <protection locked="0" hidden="0"/>
    </xf>
    <xf numFmtId="0" fontId="22" fillId="0" borderId="30" applyAlignment="1" applyProtection="1" pivotButton="0" quotePrefix="0" xfId="0">
      <alignment horizontal="center" vertical="center"/>
      <protection locked="0" hidden="0"/>
    </xf>
    <xf numFmtId="0" fontId="19" fillId="0" borderId="20" applyAlignment="1" applyProtection="1" pivotButton="0" quotePrefix="0" xfId="0">
      <alignment horizontal="general" vertical="center"/>
      <protection locked="0" hidden="0"/>
    </xf>
    <xf numFmtId="173" fontId="19" fillId="0" borderId="13" applyAlignment="1" applyProtection="1" pivotButton="0" quotePrefix="0" xfId="0">
      <alignment horizontal="general" vertical="center" shrinkToFit="1"/>
      <protection locked="0" hidden="0"/>
    </xf>
    <xf numFmtId="0" fontId="19" fillId="0" borderId="57" applyAlignment="1" applyProtection="1" pivotButton="0" quotePrefix="0" xfId="0">
      <alignment horizontal="center" vertical="center"/>
      <protection locked="0" hidden="0"/>
    </xf>
    <xf numFmtId="0" fontId="19" fillId="0" borderId="12" applyAlignment="1" applyProtection="1" pivotButton="0" quotePrefix="0" xfId="0">
      <alignment horizontal="general" vertical="center"/>
      <protection locked="0" hidden="0"/>
    </xf>
    <xf numFmtId="0" fontId="19" fillId="0" borderId="21" applyAlignment="1" applyProtection="1" pivotButton="0" quotePrefix="0" xfId="0">
      <alignment horizontal="general" vertical="center"/>
      <protection locked="0" hidden="0"/>
    </xf>
    <xf numFmtId="173" fontId="19" fillId="0" borderId="4" applyAlignment="1" applyProtection="1" pivotButton="0" quotePrefix="0" xfId="0">
      <alignment horizontal="general" vertical="center" shrinkToFit="1"/>
      <protection locked="0" hidden="0"/>
    </xf>
    <xf numFmtId="0" fontId="19" fillId="0" borderId="28" applyAlignment="1" applyProtection="1" pivotButton="0" quotePrefix="0" xfId="0">
      <alignment horizontal="general" vertical="center"/>
      <protection locked="0" hidden="0"/>
    </xf>
    <xf numFmtId="173" fontId="19" fillId="0" borderId="2" applyAlignment="1" applyProtection="1" pivotButton="0" quotePrefix="0" xfId="0">
      <alignment horizontal="general" vertical="center" shrinkToFit="1"/>
      <protection locked="0" hidden="0"/>
    </xf>
    <xf numFmtId="0" fontId="13" fillId="0" borderId="2" applyAlignment="1" applyProtection="1" pivotButton="0" quotePrefix="0" xfId="0">
      <alignment horizontal="center" vertical="center" shrinkToFit="1"/>
      <protection locked="0" hidden="0"/>
    </xf>
    <xf numFmtId="169" fontId="35" fillId="0" borderId="37" applyAlignment="1" applyProtection="1" pivotButton="0" quotePrefix="0" xfId="17">
      <alignment horizontal="center" vertical="center"/>
      <protection locked="0" hidden="0"/>
    </xf>
    <xf numFmtId="0" fontId="0" fillId="0" borderId="38" applyAlignment="1" applyProtection="1" pivotButton="0" quotePrefix="0" xfId="0">
      <alignment horizontal="left" vertical="center"/>
      <protection locked="0" hidden="0"/>
    </xf>
    <xf numFmtId="0" fontId="0" fillId="0" borderId="31" applyAlignment="1" applyProtection="1" pivotButton="0" quotePrefix="0" xfId="0">
      <alignment horizontal="center" vertical="center"/>
      <protection locked="0" hidden="0"/>
    </xf>
    <xf numFmtId="0" fontId="8" fillId="0" borderId="13" applyAlignment="1" applyProtection="1" pivotButton="0" quotePrefix="0" xfId="0">
      <alignment horizontal="center" vertical="center"/>
      <protection locked="0" hidden="0"/>
    </xf>
    <xf numFmtId="0" fontId="30" fillId="0" borderId="13" applyAlignment="1" applyProtection="1" pivotButton="0" quotePrefix="0" xfId="0">
      <alignment horizontal="center" vertical="center"/>
      <protection locked="0" hidden="0"/>
    </xf>
    <xf numFmtId="0" fontId="22" fillId="0" borderId="2" applyAlignment="1" applyProtection="1" pivotButton="0" quotePrefix="0" xfId="0">
      <alignment horizontal="general" vertical="center"/>
      <protection locked="0" hidden="0"/>
    </xf>
    <xf numFmtId="0" fontId="0" fillId="0" borderId="7" applyAlignment="1" applyProtection="1" pivotButton="0" quotePrefix="0" xfId="0">
      <alignment horizontal="center" vertical="center" wrapText="1"/>
      <protection locked="0" hidden="0"/>
    </xf>
    <xf numFmtId="0" fontId="0" fillId="0" borderId="12" applyAlignment="1" applyProtection="1" pivotButton="0" quotePrefix="0" xfId="0">
      <alignment horizontal="center" vertical="center" wrapText="1"/>
      <protection locked="0" hidden="0"/>
    </xf>
    <xf numFmtId="0" fontId="0" fillId="0" borderId="28" applyAlignment="1" applyProtection="1" pivotButton="0" quotePrefix="0" xfId="0">
      <alignment horizontal="center" vertical="center"/>
      <protection locked="0" hidden="0"/>
    </xf>
    <xf numFmtId="0" fontId="0" fillId="0" borderId="2" applyAlignment="1" applyProtection="1" pivotButton="0" quotePrefix="0" xfId="0">
      <alignment horizontal="left" vertical="center"/>
      <protection locked="0" hidden="0"/>
    </xf>
    <xf numFmtId="0" fontId="0" fillId="0" borderId="28" applyAlignment="1" applyProtection="1" pivotButton="0" quotePrefix="0" xfId="0">
      <alignment horizontal="left" vertical="center"/>
      <protection locked="0" hidden="0"/>
    </xf>
    <xf numFmtId="0" fontId="0" fillId="0" borderId="3" applyAlignment="1" applyProtection="1" pivotButton="0" quotePrefix="0" xfId="0">
      <alignment horizontal="center" vertical="center"/>
      <protection locked="0" hidden="0"/>
    </xf>
    <xf numFmtId="0" fontId="7" fillId="0" borderId="27" applyAlignment="1" applyProtection="1" pivotButton="0" quotePrefix="0" xfId="0">
      <alignment horizontal="center" vertical="center" wrapText="1"/>
      <protection locked="0" hidden="0"/>
    </xf>
    <xf numFmtId="0" fontId="7" fillId="0" borderId="35" applyAlignment="1" applyProtection="1" pivotButton="0" quotePrefix="0" xfId="0">
      <alignment horizontal="center" vertical="center" wrapText="1"/>
      <protection locked="0" hidden="0"/>
    </xf>
    <xf numFmtId="0" fontId="7" fillId="0" borderId="31" applyAlignment="1" applyProtection="1" pivotButton="0" quotePrefix="0" xfId="0">
      <alignment horizontal="center" vertical="center" wrapText="1"/>
      <protection locked="0" hidden="0"/>
    </xf>
  </cellXfs>
  <cellStyles count="21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Moeda 2" xfId="6"/>
    <cellStyle name="Moeda 3" xfId="7"/>
    <cellStyle name="Moeda 4" xfId="8"/>
    <cellStyle name="Normal 2" xfId="9"/>
    <cellStyle name="Normal 3" xfId="10"/>
    <cellStyle name="Normal 4" xfId="11"/>
    <cellStyle name="Normal 5" xfId="12"/>
    <cellStyle name="Porcentagem 2" xfId="13"/>
    <cellStyle name="Porcentagem 3" xfId="14"/>
    <cellStyle name="Porcentagem 4" xfId="15"/>
    <cellStyle name="Separador de milhares 2" xfId="16"/>
    <cellStyle name="Separador de milhares 3" xfId="17"/>
    <cellStyle name="Separador de milhares 4" xfId="18"/>
    <cellStyle name="Título 1 1" xfId="19"/>
    <cellStyle name="Título 1 1 1" xfId="20"/>
  </cellStyles>
  <dxfs count="73"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FFFFFFFF"/>
      </font>
    </dxf>
    <dxf>
      <font>
        <name val="Arial"/>
        <family val="2"/>
        <color rgb="00FFFFFF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OR&#199;AMENTOS/or&#231;amentos%202011/3-MAR&#199;O/021-03-11%20-%20MENEGOTTI%20-%20SAPATA%20DE%20FREIO/FO%20090%20-%20An&#225;lise%20de%20Viabilidade%20e%20Risco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Engenharia/APQP/DOCUMENTOS/FO%20174%20-%20Ficha%20de%20Or&#231;amento%20e%20An&#225;lise%20de%20Viabilidade%20de%20risco%20-%20Engenharia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L1"/>
      <sheetName val="PL2"/>
      <sheetName val="PL3"/>
      <sheetName val="PL4"/>
      <sheetName val="PL5"/>
      <sheetName val="PL6"/>
      <sheetName val="PL7"/>
      <sheetName val="PL8"/>
      <sheetName val="PL9"/>
      <sheetName val="PL10"/>
      <sheetName val="PL11"/>
      <sheetName val="PL12"/>
      <sheetName val="PL13"/>
      <sheetName val="PL14"/>
      <sheetName val="PL15"/>
      <sheetName val="PL16"/>
      <sheetName val="PL17"/>
      <sheetName val="PL18"/>
      <sheetName val="FO-09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O-090"/>
      <sheetName val="PL2"/>
      <sheetName val="PL3"/>
      <sheetName val="PL4"/>
      <sheetName val="PL5"/>
      <sheetName val="PL6"/>
      <sheetName val="PL7"/>
      <sheetName val="PL8"/>
      <sheetName val="PL9"/>
      <sheetName val="PL10"/>
      <sheetName val="PL11"/>
      <sheetName val="PL12"/>
      <sheetName val="PL13"/>
      <sheetName val="PL14"/>
      <sheetName val="PL15"/>
      <sheetName val="PL16"/>
      <sheetName val="PL17"/>
      <sheetName val="PL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FFFFFF"/>
    <outlinePr summaryBelow="1" summaryRight="1"/>
    <pageSetUpPr fitToPage="1"/>
  </sheetPr>
  <dimension ref="A1:IV74"/>
  <sheetViews>
    <sheetView showFormulas="0" showGridLines="1" showRowColHeaders="1" showZeros="1" rightToLeft="0" tabSelected="1" showOutlineSymbols="1" defaultGridColor="1" view="normal" topLeftCell="A1" colorId="64" zoomScale="70" zoomScaleNormal="70" zoomScalePageLayoutView="100" workbookViewId="0">
      <selection pane="topLeft" activeCell="A2" activeCellId="0" sqref="A2:B2"/>
    </sheetView>
  </sheetViews>
  <sheetFormatPr baseColWidth="8" defaultColWidth="9.13671875" defaultRowHeight="12.75" zeroHeight="1" outlineLevelRow="0"/>
  <cols>
    <col width="19.41" customWidth="1" style="408" min="1" max="1"/>
    <col width="44.28" customWidth="1" style="408" min="2" max="2"/>
    <col width="13.28" customWidth="1" style="408" min="3" max="4"/>
    <col width="14.7" customWidth="1" style="408" min="5" max="5"/>
    <col width="9.699999999999999" customWidth="1" style="408" min="6" max="6"/>
    <col width="10.71" customWidth="1" style="408" min="7" max="7"/>
    <col width="14.56" customWidth="1" style="408" min="8" max="8"/>
    <col width="14.28" customWidth="1" style="408" min="9" max="10"/>
    <col width="19.14" customWidth="1" style="408" min="11" max="11"/>
    <col hidden="1" width="9.140000000000001" customWidth="1" style="408" min="12" max="12"/>
    <col hidden="1" width="9.140000000000001" customWidth="1" style="409" min="13" max="13"/>
    <col hidden="1" width="9.140000000000001" customWidth="1" style="408" min="14" max="254"/>
    <col hidden="1" width="5.28" customWidth="1" style="408" min="255" max="255"/>
    <col hidden="1" width="9.140000000000001" customWidth="1" style="408" min="256" max="257"/>
  </cols>
  <sheetData>
    <row r="1" ht="32.25" customHeight="1" s="410">
      <c r="A1" s="411" t="inlineStr">
        <is>
          <t>FICHA DE ORÇAMENTO</t>
        </is>
      </c>
      <c r="B1" s="412" t="n"/>
      <c r="C1" s="412" t="n"/>
      <c r="D1" s="412" t="n"/>
      <c r="E1" s="412" t="n"/>
      <c r="F1" s="412" t="n"/>
      <c r="G1" s="412" t="n"/>
      <c r="H1" s="412" t="n"/>
      <c r="I1" s="412" t="n"/>
      <c r="J1" s="412" t="n"/>
      <c r="K1" s="413" t="n"/>
    </row>
    <row r="2" ht="21" customHeight="1" s="410">
      <c r="A2" s="414" t="inlineStr">
        <is>
          <t>DESCRIÇÃO DA PEÇA:</t>
        </is>
      </c>
      <c r="B2" s="415" t="n"/>
      <c r="C2" s="416" t="n"/>
      <c r="D2" s="417" t="n"/>
      <c r="E2" s="415" t="n"/>
      <c r="F2" s="418" t="inlineStr">
        <is>
          <t>CÓDIGO  / DESENHO:</t>
        </is>
      </c>
      <c r="G2" s="415" t="n"/>
      <c r="H2" s="419" t="n"/>
      <c r="I2" s="415" t="n"/>
      <c r="J2" s="420" t="inlineStr">
        <is>
          <t>LOTE ECONÔMICO:</t>
        </is>
      </c>
      <c r="K2" s="421" t="n"/>
      <c r="IV2" s="409" t="n"/>
    </row>
    <row r="3" ht="18" customHeight="1" s="410">
      <c r="A3" s="422" t="inlineStr">
        <is>
          <t xml:space="preserve">ESTRUTURA DE PRODUTO </t>
        </is>
      </c>
      <c r="B3" s="423" t="n"/>
      <c r="C3" s="423" t="n"/>
      <c r="D3" s="423" t="n"/>
      <c r="E3" s="423" t="n"/>
      <c r="F3" s="423" t="n"/>
      <c r="G3" s="423" t="n"/>
      <c r="H3" s="423" t="n"/>
      <c r="I3" s="423" t="n"/>
      <c r="J3" s="423" t="n"/>
      <c r="K3" s="424" t="n"/>
    </row>
    <row r="4" ht="12.75" customHeight="1" s="410">
      <c r="A4" s="425" t="inlineStr">
        <is>
          <t>CÓD. MATERIAL</t>
        </is>
      </c>
      <c r="B4" s="426" t="inlineStr">
        <is>
          <t>DESCRIÇÃO DOS COMPONENTES</t>
        </is>
      </c>
      <c r="C4" s="427" t="n"/>
      <c r="D4" s="428" t="n"/>
      <c r="E4" s="429" t="inlineStr">
        <is>
          <t>QUANTIDADE</t>
        </is>
      </c>
      <c r="F4" s="430" t="inlineStr">
        <is>
          <t xml:space="preserve">UN </t>
        </is>
      </c>
      <c r="G4" s="430" t="inlineStr">
        <is>
          <t>PREÇO ( R$ )</t>
        </is>
      </c>
      <c r="H4" s="431" t="n"/>
      <c r="I4" s="430" t="inlineStr">
        <is>
          <t>OBSERVAÇÃO</t>
        </is>
      </c>
      <c r="J4" s="431" t="n"/>
      <c r="K4" s="432" t="inlineStr">
        <is>
          <t>TOTAL R$</t>
        </is>
      </c>
    </row>
    <row r="5" ht="12.75" customHeight="1" s="410">
      <c r="A5" s="433" t="n"/>
      <c r="B5" s="434" t="n"/>
      <c r="C5" s="423" t="n"/>
      <c r="D5" s="435" t="n"/>
      <c r="E5" s="436" t="n"/>
      <c r="F5" s="437" t="n"/>
      <c r="G5" s="434" t="n"/>
      <c r="H5" s="435" t="n"/>
      <c r="I5" s="434" t="n"/>
      <c r="J5" s="435" t="n"/>
      <c r="K5" s="438" t="n"/>
    </row>
    <row r="6" ht="18.75" customFormat="1" customHeight="1" s="439">
      <c r="A6" s="440" t="n"/>
      <c r="B6" s="441" t="n"/>
      <c r="C6" s="442" t="n"/>
      <c r="D6" s="443" t="n"/>
      <c r="E6" s="444" t="n"/>
      <c r="F6" s="445" t="n"/>
      <c r="G6" s="446" t="n"/>
      <c r="H6" s="443" t="n"/>
      <c r="I6" s="447" t="n"/>
      <c r="J6" s="448" t="n"/>
      <c r="K6" s="449">
        <f>E6*G6</f>
        <v/>
      </c>
      <c r="M6" s="450" t="n"/>
    </row>
    <row r="7" ht="18.75" customFormat="1" customHeight="1" s="439">
      <c r="A7" s="440" t="n"/>
      <c r="B7" s="441" t="n"/>
      <c r="C7" s="442" t="n"/>
      <c r="D7" s="443" t="n"/>
      <c r="E7" s="451" t="n"/>
      <c r="F7" s="445" t="n"/>
      <c r="G7" s="446" t="n"/>
      <c r="H7" s="443" t="n"/>
      <c r="I7" s="452" t="n"/>
      <c r="J7" s="448" t="n"/>
      <c r="K7" s="449">
        <f>E7*G7</f>
        <v/>
      </c>
      <c r="M7" s="450" t="n"/>
    </row>
    <row r="8" ht="18.75" customFormat="1" customHeight="1" s="439">
      <c r="A8" s="440" t="n"/>
      <c r="B8" s="441" t="n"/>
      <c r="C8" s="442" t="n"/>
      <c r="D8" s="443" t="n"/>
      <c r="E8" s="451" t="n"/>
      <c r="F8" s="445" t="n"/>
      <c r="G8" s="446" t="n"/>
      <c r="H8" s="443" t="n"/>
      <c r="I8" s="452" t="n"/>
      <c r="J8" s="448" t="n"/>
      <c r="K8" s="449">
        <f>E8*G8</f>
        <v/>
      </c>
      <c r="M8" s="450" t="n"/>
    </row>
    <row r="9" ht="18.75" customFormat="1" customHeight="1" s="439">
      <c r="A9" s="440" t="n"/>
      <c r="B9" s="441" t="n"/>
      <c r="C9" s="442" t="n"/>
      <c r="D9" s="443" t="n"/>
      <c r="E9" s="451" t="n"/>
      <c r="F9" s="445" t="n"/>
      <c r="G9" s="446" t="n"/>
      <c r="H9" s="443" t="n"/>
      <c r="I9" s="452" t="n"/>
      <c r="J9" s="448" t="n"/>
      <c r="K9" s="449">
        <f>E9*G9</f>
        <v/>
      </c>
      <c r="M9" s="450" t="n"/>
    </row>
    <row r="10" ht="12.75" customHeight="1" s="410">
      <c r="A10" s="453" t="inlineStr">
        <is>
          <t>SOMATÓRIO DOS VALORES REFERENTES A MATÉRIA-PRIMA................................................</t>
        </is>
      </c>
      <c r="B10" s="454" t="n"/>
      <c r="C10" s="454" t="n"/>
      <c r="D10" s="454" t="n"/>
      <c r="E10" s="454" t="n"/>
      <c r="F10" s="454" t="n"/>
      <c r="G10" s="454" t="n"/>
      <c r="H10" s="454" t="n"/>
      <c r="I10" s="454" t="n"/>
      <c r="J10" s="455" t="n"/>
      <c r="K10" s="456">
        <f>SUM(K6:K9)</f>
        <v/>
      </c>
    </row>
    <row r="11" ht="12.75" customHeight="1" s="410">
      <c r="A11" s="457" t="n"/>
      <c r="B11" s="427" t="n"/>
      <c r="C11" s="427" t="n"/>
      <c r="D11" s="427" t="n"/>
      <c r="E11" s="427" t="n"/>
      <c r="F11" s="427" t="n"/>
      <c r="G11" s="427" t="n"/>
      <c r="H11" s="427" t="n"/>
      <c r="I11" s="427" t="n"/>
      <c r="J11" s="427" t="n"/>
      <c r="K11" s="458" t="n"/>
    </row>
    <row r="12" ht="18" customHeight="1" s="410">
      <c r="A12" s="459" t="inlineStr">
        <is>
          <t>OPERAÇÕES EXTERNAS (TERCEIROS)</t>
        </is>
      </c>
      <c r="B12" s="460" t="n"/>
      <c r="C12" s="460" t="n"/>
      <c r="D12" s="460" t="n"/>
      <c r="E12" s="460" t="n"/>
      <c r="F12" s="460" t="n"/>
      <c r="G12" s="460" t="n"/>
      <c r="H12" s="460" t="n"/>
      <c r="I12" s="460" t="n"/>
      <c r="J12" s="460" t="n"/>
      <c r="K12" s="461" t="n"/>
    </row>
    <row r="13" ht="12.75" customHeight="1" s="410">
      <c r="A13" s="462" t="inlineStr">
        <is>
          <t>CÓDIGO</t>
        </is>
      </c>
      <c r="B13" s="463" t="inlineStr">
        <is>
          <t>DESCRIÇÃO</t>
        </is>
      </c>
      <c r="C13" s="430" t="inlineStr">
        <is>
          <t>QUANTIDADE</t>
        </is>
      </c>
      <c r="D13" s="430" t="inlineStr">
        <is>
          <t xml:space="preserve">UN </t>
        </is>
      </c>
      <c r="E13" s="464" t="inlineStr">
        <is>
          <t>FORNECEDOR SERVIÇO</t>
        </is>
      </c>
      <c r="F13" s="465" t="n"/>
      <c r="G13" s="465" t="n"/>
      <c r="H13" s="430" t="inlineStr">
        <is>
          <t>OBSERVAÇÃO</t>
        </is>
      </c>
      <c r="I13" s="431" t="n"/>
      <c r="J13" s="430" t="inlineStr">
        <is>
          <t>PREÇO UNIT. (R$)</t>
        </is>
      </c>
      <c r="K13" s="432" t="inlineStr">
        <is>
          <t>R$</t>
        </is>
      </c>
    </row>
    <row r="14" ht="12.75" customHeight="1" s="410">
      <c r="A14" s="466" t="n"/>
      <c r="B14" s="428" t="n"/>
      <c r="C14" s="437" t="n"/>
      <c r="D14" s="437" t="n"/>
      <c r="E14" s="434" t="n"/>
      <c r="F14" s="423" t="n"/>
      <c r="G14" s="423" t="n"/>
      <c r="H14" s="434" t="n"/>
      <c r="I14" s="435" t="n"/>
      <c r="J14" s="437" t="n"/>
      <c r="K14" s="438" t="n"/>
    </row>
    <row r="15" ht="24.75" customFormat="1" customHeight="1" s="439">
      <c r="A15" s="467" t="n"/>
      <c r="B15" s="441" t="n"/>
      <c r="C15" s="468" t="n"/>
      <c r="D15" s="467" t="n"/>
      <c r="E15" s="469" t="n"/>
      <c r="F15" s="442" t="n"/>
      <c r="G15" s="442" t="n"/>
      <c r="H15" s="441" t="n"/>
      <c r="I15" s="443" t="n"/>
      <c r="J15" s="470" t="n"/>
      <c r="K15" s="471">
        <f>J15*C15</f>
        <v/>
      </c>
      <c r="M15" s="450" t="n"/>
    </row>
    <row r="16" ht="24.75" customFormat="1" customHeight="1" s="439">
      <c r="A16" s="467" t="n"/>
      <c r="B16" s="441" t="n"/>
      <c r="C16" s="467" t="n"/>
      <c r="D16" s="467" t="n"/>
      <c r="E16" s="469" t="n"/>
      <c r="F16" s="442" t="n"/>
      <c r="G16" s="442" t="n"/>
      <c r="H16" s="441" t="n"/>
      <c r="I16" s="443" t="n"/>
      <c r="J16" s="470" t="n"/>
      <c r="K16" s="471">
        <f>J16*C16</f>
        <v/>
      </c>
      <c r="M16" s="450" t="n"/>
    </row>
    <row r="17" ht="24.75" customFormat="1" customHeight="1" s="439">
      <c r="A17" s="467" t="n"/>
      <c r="B17" s="441" t="n"/>
      <c r="C17" s="467" t="n"/>
      <c r="D17" s="467" t="n"/>
      <c r="E17" s="469" t="n"/>
      <c r="F17" s="442" t="n"/>
      <c r="G17" s="442" t="n"/>
      <c r="H17" s="441" t="n"/>
      <c r="I17" s="443" t="n"/>
      <c r="J17" s="470" t="n"/>
      <c r="K17" s="471">
        <f>J17*C17</f>
        <v/>
      </c>
      <c r="M17" s="450" t="n"/>
    </row>
    <row r="18" ht="12.75" customHeight="1" s="410">
      <c r="A18" s="453" t="inlineStr">
        <is>
          <t>SOMATÓRIO DOS VALORES REFERENTES A OPERAÇÃO EXTERNA (TERCEIROS)..............................................</t>
        </is>
      </c>
      <c r="B18" s="454" t="n"/>
      <c r="C18" s="454" t="n"/>
      <c r="D18" s="454" t="n"/>
      <c r="E18" s="454" t="n"/>
      <c r="F18" s="454" t="n"/>
      <c r="G18" s="454" t="n"/>
      <c r="H18" s="454" t="n"/>
      <c r="I18" s="454" t="n"/>
      <c r="J18" s="455" t="n"/>
      <c r="K18" s="456">
        <f>SUM(K15:K17)</f>
        <v/>
      </c>
    </row>
    <row r="19" ht="12.75" customHeight="1" s="410">
      <c r="A19" s="457" t="n"/>
      <c r="B19" s="427" t="n"/>
      <c r="C19" s="427" t="n"/>
      <c r="D19" s="427" t="n"/>
      <c r="E19" s="427" t="n"/>
      <c r="F19" s="427" t="n"/>
      <c r="G19" s="427" t="n"/>
      <c r="H19" s="427" t="n"/>
      <c r="I19" s="427" t="n"/>
      <c r="J19" s="427" t="n"/>
      <c r="K19" s="458" t="n"/>
    </row>
    <row r="20" ht="18" customHeight="1" s="410">
      <c r="A20" s="459" t="inlineStr">
        <is>
          <t xml:space="preserve">PROCESSO DE FABRICAÇÃO </t>
        </is>
      </c>
      <c r="B20" s="460" t="n"/>
      <c r="C20" s="460" t="n"/>
      <c r="D20" s="460" t="n"/>
      <c r="E20" s="460" t="n"/>
      <c r="F20" s="460" t="n"/>
      <c r="G20" s="460" t="n"/>
      <c r="H20" s="460" t="n"/>
      <c r="I20" s="460" t="n"/>
      <c r="J20" s="460" t="n"/>
      <c r="K20" s="461" t="n"/>
    </row>
    <row r="21" ht="19.5" customHeight="1" s="410">
      <c r="A21" s="472" t="inlineStr">
        <is>
          <t>Nº OPERAÇÃO</t>
        </is>
      </c>
      <c r="B21" s="464" t="inlineStr">
        <is>
          <t>DESCRIÇÃO DA OPERAÇÃO</t>
        </is>
      </c>
      <c r="C21" s="430" t="inlineStr">
        <is>
          <t>CENTRO CUSTO</t>
        </is>
      </c>
      <c r="D21" s="430" t="inlineStr">
        <is>
          <t>GRUPO MÁQUINA</t>
        </is>
      </c>
      <c r="E21" s="473" t="inlineStr">
        <is>
          <t>DESCRIÇÃO GRUPO MÁQUINA</t>
        </is>
      </c>
      <c r="F21" s="431" t="n"/>
      <c r="G21" s="430" t="inlineStr">
        <is>
          <t>SET-UP (MINUTOS)</t>
        </is>
      </c>
      <c r="H21" s="430" t="inlineStr">
        <is>
          <t>TEMPO OPERAÇÃO (MINUTOS)</t>
        </is>
      </c>
      <c r="I21" s="430" t="inlineStr">
        <is>
          <t>Nº DE HOMENS</t>
        </is>
      </c>
      <c r="J21" s="430" t="inlineStr">
        <is>
          <t>R$                          (SET-UP)</t>
        </is>
      </c>
      <c r="K21" s="474" t="inlineStr">
        <is>
          <t>R$                          (TEMPO OPERAÇÃO)</t>
        </is>
      </c>
      <c r="M21" s="409" t="n">
        <v>1</v>
      </c>
    </row>
    <row r="22" ht="19.5" customHeight="1" s="410">
      <c r="A22" s="433" t="n"/>
      <c r="B22" s="434" t="n"/>
      <c r="C22" s="437" t="n"/>
      <c r="D22" s="437" t="n"/>
      <c r="E22" s="423" t="n"/>
      <c r="F22" s="435" t="n"/>
      <c r="G22" s="437" t="n"/>
      <c r="H22" s="437" t="n"/>
      <c r="I22" s="437" t="n"/>
      <c r="J22" s="437" t="n"/>
      <c r="K22" s="438" t="n"/>
      <c r="M22" s="409" t="n">
        <v>2</v>
      </c>
    </row>
    <row r="23" ht="19.5" customFormat="1" customHeight="1" s="439">
      <c r="A23" s="440" t="n">
        <v>10</v>
      </c>
      <c r="B23" s="475" t="n"/>
      <c r="C23" s="441" t="n"/>
      <c r="D23" s="476" t="n"/>
      <c r="E23" s="477" t="n"/>
      <c r="F23" s="443" t="n"/>
      <c r="G23" s="441" t="n"/>
      <c r="H23" s="441" t="n"/>
      <c r="I23" s="441" t="n"/>
      <c r="J23" s="478" t="n"/>
      <c r="K23" s="479" t="n"/>
      <c r="L23" s="439">
        <f>I23*H23</f>
        <v/>
      </c>
      <c r="M23" s="450" t="n">
        <v>3</v>
      </c>
    </row>
    <row r="24" ht="19.5" customFormat="1" customHeight="1" s="439">
      <c r="A24" s="440" t="n">
        <v>20</v>
      </c>
      <c r="B24" s="475" t="n"/>
      <c r="C24" s="441" t="n"/>
      <c r="D24" s="476" t="n"/>
      <c r="E24" s="480" t="n"/>
      <c r="F24" s="443" t="n"/>
      <c r="G24" s="441" t="n"/>
      <c r="H24" s="441" t="n"/>
      <c r="I24" s="441" t="n"/>
      <c r="J24" s="478" t="n"/>
      <c r="K24" s="479" t="n"/>
      <c r="L24" s="439">
        <f>I24*H24</f>
        <v/>
      </c>
      <c r="M24" s="450" t="n">
        <v>4</v>
      </c>
    </row>
    <row r="25" ht="19.5" customFormat="1" customHeight="1" s="439">
      <c r="A25" s="440" t="n">
        <v>30</v>
      </c>
      <c r="B25" s="475" t="n"/>
      <c r="C25" s="441" t="n"/>
      <c r="D25" s="476" t="n"/>
      <c r="E25" s="480" t="n"/>
      <c r="F25" s="443" t="n"/>
      <c r="G25" s="441" t="n"/>
      <c r="H25" s="441" t="n"/>
      <c r="I25" s="441" t="n"/>
      <c r="J25" s="478" t="n"/>
      <c r="K25" s="479" t="n"/>
      <c r="L25" s="439">
        <f>I25*H25</f>
        <v/>
      </c>
      <c r="M25" s="450" t="n">
        <v>5</v>
      </c>
    </row>
    <row r="26" ht="19.5" customFormat="1" customHeight="1" s="439">
      <c r="A26" s="440" t="n">
        <v>40</v>
      </c>
      <c r="B26" s="475" t="n"/>
      <c r="C26" s="441" t="n"/>
      <c r="D26" s="476" t="n"/>
      <c r="E26" s="480" t="n"/>
      <c r="F26" s="443" t="n"/>
      <c r="G26" s="441" t="n"/>
      <c r="H26" s="441" t="n"/>
      <c r="I26" s="441" t="n"/>
      <c r="J26" s="478" t="n"/>
      <c r="K26" s="479" t="n"/>
      <c r="L26" s="439">
        <f>I26*H26</f>
        <v/>
      </c>
      <c r="M26" s="450" t="n">
        <v>6</v>
      </c>
    </row>
    <row r="27" ht="19.5" customFormat="1" customHeight="1" s="439">
      <c r="A27" s="440" t="n">
        <v>50</v>
      </c>
      <c r="B27" s="475" t="n"/>
      <c r="C27" s="441" t="n"/>
      <c r="D27" s="476" t="n"/>
      <c r="E27" s="480" t="n"/>
      <c r="F27" s="443" t="n"/>
      <c r="G27" s="441" t="n"/>
      <c r="H27" s="441" t="n"/>
      <c r="I27" s="441" t="n"/>
      <c r="J27" s="478" t="n"/>
      <c r="K27" s="479" t="n"/>
      <c r="L27" s="439">
        <f>I27*H27</f>
        <v/>
      </c>
      <c r="M27" s="450" t="n">
        <v>7</v>
      </c>
      <c r="N27" s="481" t="n"/>
    </row>
    <row r="28" ht="19.5" customFormat="1" customHeight="1" s="439">
      <c r="A28" s="440" t="n">
        <v>60</v>
      </c>
      <c r="B28" s="475" t="n"/>
      <c r="C28" s="441" t="n"/>
      <c r="D28" s="476" t="n"/>
      <c r="E28" s="480" t="n"/>
      <c r="F28" s="443" t="n"/>
      <c r="G28" s="441" t="n"/>
      <c r="H28" s="441" t="n"/>
      <c r="I28" s="441" t="n"/>
      <c r="J28" s="478" t="n"/>
      <c r="K28" s="479" t="n"/>
      <c r="L28" s="439">
        <f>I28*H28</f>
        <v/>
      </c>
      <c r="M28" s="450" t="n">
        <v>8</v>
      </c>
    </row>
    <row r="29" ht="19.5" customFormat="1" customHeight="1" s="439">
      <c r="A29" s="440" t="n">
        <v>70</v>
      </c>
      <c r="B29" s="475" t="n"/>
      <c r="C29" s="441" t="n"/>
      <c r="D29" s="476" t="n"/>
      <c r="E29" s="480" t="n"/>
      <c r="F29" s="443" t="n"/>
      <c r="G29" s="441" t="n"/>
      <c r="H29" s="441" t="n"/>
      <c r="I29" s="441" t="n"/>
      <c r="J29" s="478" t="n"/>
      <c r="K29" s="479" t="n"/>
      <c r="L29" s="439">
        <f>I29*H29</f>
        <v/>
      </c>
      <c r="M29" s="450" t="n"/>
    </row>
    <row r="30" ht="19.5" customFormat="1" customHeight="1" s="439">
      <c r="A30" s="440" t="n">
        <v>80</v>
      </c>
      <c r="B30" s="475" t="n"/>
      <c r="C30" s="441" t="n"/>
      <c r="D30" s="476" t="n"/>
      <c r="E30" s="480" t="n"/>
      <c r="F30" s="443" t="n"/>
      <c r="G30" s="441" t="n"/>
      <c r="H30" s="441" t="n"/>
      <c r="I30" s="441" t="n"/>
      <c r="J30" s="478" t="n"/>
      <c r="K30" s="479" t="n"/>
      <c r="L30" s="439">
        <f>I30*H30</f>
        <v/>
      </c>
      <c r="M30" s="450" t="n"/>
    </row>
    <row r="31" ht="19.5" customFormat="1" customHeight="1" s="439">
      <c r="A31" s="440" t="n">
        <v>90</v>
      </c>
      <c r="B31" s="475" t="n"/>
      <c r="C31" s="441" t="n"/>
      <c r="D31" s="476" t="n"/>
      <c r="E31" s="480" t="n"/>
      <c r="F31" s="443" t="n"/>
      <c r="G31" s="441" t="n"/>
      <c r="H31" s="441" t="n"/>
      <c r="I31" s="441" t="n"/>
      <c r="J31" s="478" t="n"/>
      <c r="K31" s="479" t="n"/>
      <c r="L31" s="439">
        <f>I31*H31</f>
        <v/>
      </c>
      <c r="M31" s="450" t="n"/>
    </row>
    <row r="32" ht="19.5" customFormat="1" customHeight="1" s="439">
      <c r="A32" s="440" t="n">
        <v>100</v>
      </c>
      <c r="B32" s="475" t="n"/>
      <c r="C32" s="441" t="n"/>
      <c r="D32" s="476" t="n"/>
      <c r="E32" s="480" t="n"/>
      <c r="F32" s="443" t="n"/>
      <c r="G32" s="441" t="n"/>
      <c r="H32" s="441" t="n"/>
      <c r="I32" s="441" t="n"/>
      <c r="J32" s="478" t="n"/>
      <c r="K32" s="479" t="n"/>
      <c r="L32" s="439">
        <f>I32*H32</f>
        <v/>
      </c>
      <c r="M32" s="450" t="n"/>
    </row>
    <row r="33" ht="19.5" customFormat="1" customHeight="1" s="439">
      <c r="A33" s="482" t="n">
        <v>110</v>
      </c>
      <c r="B33" s="475" t="n"/>
      <c r="C33" s="441" t="n"/>
      <c r="D33" s="476" t="n"/>
      <c r="E33" s="480" t="n"/>
      <c r="F33" s="443" t="n"/>
      <c r="G33" s="441" t="n"/>
      <c r="H33" s="441" t="n"/>
      <c r="I33" s="441" t="n"/>
      <c r="J33" s="478" t="n"/>
      <c r="K33" s="479" t="n"/>
      <c r="L33" s="439">
        <f>I33*H33</f>
        <v/>
      </c>
      <c r="M33" s="450" t="n"/>
    </row>
    <row r="34" ht="19.5" customFormat="1" customHeight="1" s="439">
      <c r="A34" s="440" t="n">
        <v>120</v>
      </c>
      <c r="B34" s="475" t="n"/>
      <c r="C34" s="441" t="n"/>
      <c r="D34" s="476" t="n"/>
      <c r="E34" s="480" t="n"/>
      <c r="F34" s="443" t="n"/>
      <c r="G34" s="441" t="n"/>
      <c r="H34" s="441" t="n"/>
      <c r="I34" s="441" t="n"/>
      <c r="J34" s="478" t="n"/>
      <c r="K34" s="479" t="n"/>
      <c r="L34" s="439">
        <f>I34*H34</f>
        <v/>
      </c>
      <c r="M34" s="450" t="n"/>
    </row>
    <row r="35" ht="19.5" customFormat="1" customHeight="1" s="439">
      <c r="A35" s="482" t="n">
        <v>130</v>
      </c>
      <c r="B35" s="475" t="n"/>
      <c r="C35" s="441" t="n"/>
      <c r="D35" s="476" t="n"/>
      <c r="E35" s="480" t="n"/>
      <c r="F35" s="443" t="n"/>
      <c r="G35" s="441" t="n"/>
      <c r="H35" s="441" t="n"/>
      <c r="I35" s="441" t="n"/>
      <c r="J35" s="478" t="n"/>
      <c r="K35" s="479" t="n"/>
      <c r="L35" s="439">
        <f>I35*H35</f>
        <v/>
      </c>
      <c r="M35" s="450" t="n"/>
    </row>
    <row r="36" ht="19.5" customFormat="1" customHeight="1" s="439">
      <c r="A36" s="440" t="n">
        <v>140</v>
      </c>
      <c r="B36" s="475" t="n"/>
      <c r="C36" s="441" t="n"/>
      <c r="D36" s="476" t="n"/>
      <c r="E36" s="480" t="n"/>
      <c r="F36" s="443" t="n"/>
      <c r="G36" s="441" t="n"/>
      <c r="H36" s="441" t="n"/>
      <c r="I36" s="441" t="n"/>
      <c r="J36" s="478" t="n"/>
      <c r="K36" s="479" t="n"/>
      <c r="L36" s="439">
        <f>I36*H36</f>
        <v/>
      </c>
      <c r="M36" s="450" t="n"/>
    </row>
    <row r="37" ht="19.5" customFormat="1" customHeight="1" s="439">
      <c r="A37" s="482" t="n">
        <v>150</v>
      </c>
      <c r="B37" s="475" t="n"/>
      <c r="C37" s="441" t="n"/>
      <c r="D37" s="476" t="n"/>
      <c r="E37" s="480" t="n"/>
      <c r="F37" s="443" t="n"/>
      <c r="G37" s="441" t="n"/>
      <c r="H37" s="441" t="n"/>
      <c r="I37" s="441" t="n"/>
      <c r="J37" s="478" t="n"/>
      <c r="K37" s="479" t="n"/>
      <c r="L37" s="439">
        <f>I37*H37</f>
        <v/>
      </c>
      <c r="M37" s="450" t="n"/>
    </row>
    <row r="38" ht="12.75" customHeight="1" s="410">
      <c r="A38" s="483" t="inlineStr">
        <is>
          <t>SOMATÓRIO DOS VALORES REFERENTES A MÃO-DE-OBRA..............................................</t>
        </is>
      </c>
      <c r="B38" s="484" t="n"/>
      <c r="C38" s="484" t="n"/>
      <c r="D38" s="484" t="n"/>
      <c r="E38" s="484" t="n"/>
      <c r="F38" s="484" t="n"/>
      <c r="G38" s="484" t="n"/>
      <c r="H38" s="484" t="n"/>
      <c r="I38" s="485" t="n"/>
      <c r="J38" s="486">
        <f>SUM(J23:J37)</f>
        <v/>
      </c>
      <c r="K38" s="487">
        <f>SUM(K23:K37)</f>
        <v/>
      </c>
    </row>
    <row r="39" ht="12.75" customHeight="1" s="410">
      <c r="A39" s="488" t="n"/>
      <c r="B39" s="423" t="n"/>
      <c r="C39" s="423" t="n"/>
      <c r="D39" s="423" t="n"/>
      <c r="E39" s="423" t="n"/>
      <c r="F39" s="423" t="n"/>
      <c r="G39" s="423" t="n"/>
      <c r="H39" s="423" t="n"/>
      <c r="I39" s="423" t="n"/>
      <c r="J39" s="423" t="n"/>
      <c r="K39" s="424" t="n"/>
    </row>
    <row r="40" ht="15.75" customHeight="1" s="410">
      <c r="A40" s="489" t="inlineStr">
        <is>
          <t>CUSTO DA PEÇA........</t>
        </is>
      </c>
      <c r="B40" s="442" t="n"/>
      <c r="C40" s="442" t="n"/>
      <c r="D40" s="442" t="n"/>
      <c r="E40" s="442" t="n"/>
      <c r="F40" s="442" t="n"/>
      <c r="G40" s="442" t="n"/>
      <c r="H40" s="442" t="n"/>
      <c r="I40" s="443" t="n"/>
      <c r="J40" s="490" t="n"/>
      <c r="K40" s="491">
        <f>K10+K18+K38+J38</f>
        <v/>
      </c>
    </row>
    <row r="41" ht="12.75" customHeight="1" s="410">
      <c r="A41" s="492" t="n"/>
      <c r="B41" s="484" t="n"/>
      <c r="C41" s="484" t="n"/>
      <c r="D41" s="484" t="n"/>
      <c r="E41" s="484" t="n"/>
      <c r="F41" s="484" t="n"/>
      <c r="G41" s="484" t="n"/>
      <c r="H41" s="484" t="n"/>
      <c r="I41" s="484" t="n"/>
      <c r="J41" s="484" t="n"/>
      <c r="K41" s="493" t="n"/>
    </row>
    <row r="42" ht="18" customHeight="1" s="410">
      <c r="A42" s="494" t="inlineStr">
        <is>
          <t>ESTRUTURA DO FERRAMENTAL / GABARITO / RACK</t>
        </is>
      </c>
      <c r="B42" s="412" t="n"/>
      <c r="C42" s="412" t="n"/>
      <c r="D42" s="412" t="n"/>
      <c r="E42" s="412" t="n"/>
      <c r="F42" s="412" t="n"/>
      <c r="G42" s="412" t="n"/>
      <c r="H42" s="412" t="n"/>
      <c r="I42" s="412" t="n"/>
      <c r="J42" s="412" t="n"/>
      <c r="K42" s="413" t="n"/>
    </row>
    <row r="43" ht="12.75" customHeight="1" s="410">
      <c r="A43" s="495" t="inlineStr">
        <is>
          <t>QUANT.</t>
        </is>
      </c>
      <c r="B43" s="496" t="inlineStr">
        <is>
          <t>DESCRIÇÃO DO FERRAMENTAL</t>
        </is>
      </c>
      <c r="C43" s="412" t="n"/>
      <c r="D43" s="497" t="n"/>
      <c r="E43" s="496" t="inlineStr">
        <is>
          <t>VALORES</t>
        </is>
      </c>
      <c r="F43" s="498" t="inlineStr">
        <is>
          <t>CONFECÇÃO</t>
        </is>
      </c>
      <c r="G43" s="499" t="n"/>
      <c r="H43" s="496" t="inlineStr">
        <is>
          <t>ORÇADO COM:</t>
        </is>
      </c>
      <c r="I43" s="497" t="n"/>
      <c r="J43" s="500" t="inlineStr">
        <is>
          <t>PRAZO P/ LIBERAÇÃO</t>
        </is>
      </c>
      <c r="K43" s="413" t="n"/>
    </row>
    <row r="44" ht="12.75" customHeight="1" s="410">
      <c r="A44" s="433" t="n"/>
      <c r="B44" s="434" t="n"/>
      <c r="C44" s="423" t="n"/>
      <c r="D44" s="435" t="n"/>
      <c r="E44" s="437" t="n"/>
      <c r="F44" s="501" t="inlineStr">
        <is>
          <t>INT</t>
        </is>
      </c>
      <c r="G44" s="501" t="inlineStr">
        <is>
          <t>EXT</t>
        </is>
      </c>
      <c r="H44" s="434" t="n"/>
      <c r="I44" s="435" t="n"/>
      <c r="J44" s="434" t="n"/>
      <c r="K44" s="424" t="n"/>
    </row>
    <row r="45" ht="23.25" customFormat="1" customHeight="1" s="439">
      <c r="A45" s="440" t="n"/>
      <c r="B45" s="441" t="n"/>
      <c r="C45" s="442" t="n"/>
      <c r="D45" s="443" t="n"/>
      <c r="E45" s="502" t="n"/>
      <c r="F45" s="470" t="n"/>
      <c r="G45" s="470" t="n"/>
      <c r="H45" s="503" t="n"/>
      <c r="I45" s="504" t="n"/>
      <c r="J45" s="503" t="n"/>
      <c r="K45" s="504" t="n"/>
      <c r="M45" s="450" t="inlineStr">
        <is>
          <t>CHARLES</t>
        </is>
      </c>
    </row>
    <row r="46" ht="23.25" customFormat="1" customHeight="1" s="439">
      <c r="A46" s="440" t="n"/>
      <c r="B46" s="441" t="n"/>
      <c r="C46" s="442" t="n"/>
      <c r="D46" s="443" t="n"/>
      <c r="E46" s="502" t="n"/>
      <c r="F46" s="470" t="n"/>
      <c r="G46" s="470" t="n"/>
      <c r="H46" s="505" t="n"/>
      <c r="I46" s="443" t="n"/>
      <c r="J46" s="503" t="n"/>
      <c r="K46" s="504" t="n"/>
      <c r="M46" s="450" t="inlineStr">
        <is>
          <t>EDERSON</t>
        </is>
      </c>
    </row>
    <row r="47" ht="23.25" customFormat="1" customHeight="1" s="439">
      <c r="A47" s="440" t="n"/>
      <c r="B47" s="441" t="n"/>
      <c r="C47" s="442" t="n"/>
      <c r="D47" s="443" t="n"/>
      <c r="E47" s="502" t="n"/>
      <c r="F47" s="470" t="n"/>
      <c r="G47" s="470" t="n"/>
      <c r="H47" s="505" t="n"/>
      <c r="I47" s="443" t="n"/>
      <c r="J47" s="503" t="n"/>
      <c r="K47" s="504" t="n"/>
      <c r="M47" s="450" t="inlineStr">
        <is>
          <t>ILDO</t>
        </is>
      </c>
    </row>
    <row r="48" ht="23.25" customFormat="1" customHeight="1" s="439">
      <c r="A48" s="440" t="n"/>
      <c r="B48" s="441" t="n"/>
      <c r="C48" s="442" t="n"/>
      <c r="D48" s="443" t="n"/>
      <c r="E48" s="502" t="n"/>
      <c r="F48" s="470" t="n"/>
      <c r="G48" s="470" t="n"/>
      <c r="H48" s="505" t="n"/>
      <c r="I48" s="443" t="n"/>
      <c r="J48" s="503" t="n"/>
      <c r="K48" s="504" t="n"/>
      <c r="M48" s="450" t="inlineStr">
        <is>
          <t>ISAAC</t>
        </is>
      </c>
    </row>
    <row r="49" ht="23.25" customFormat="1" customHeight="1" s="439">
      <c r="A49" s="440" t="n"/>
      <c r="B49" s="441" t="n"/>
      <c r="C49" s="442" t="n"/>
      <c r="D49" s="443" t="n"/>
      <c r="E49" s="502" t="n"/>
      <c r="F49" s="470" t="n"/>
      <c r="G49" s="470" t="n"/>
      <c r="H49" s="505" t="n"/>
      <c r="I49" s="443" t="n"/>
      <c r="J49" s="503" t="n"/>
      <c r="K49" s="504" t="n"/>
      <c r="M49" s="450" t="inlineStr">
        <is>
          <t>OUTROS</t>
        </is>
      </c>
    </row>
    <row r="50" ht="23.25" customFormat="1" customHeight="1" s="439">
      <c r="A50" s="440" t="n"/>
      <c r="B50" s="441" t="n"/>
      <c r="C50" s="442" t="n"/>
      <c r="D50" s="443" t="n"/>
      <c r="E50" s="502" t="n"/>
      <c r="F50" s="470" t="n"/>
      <c r="G50" s="470" t="n"/>
      <c r="H50" s="505" t="n"/>
      <c r="I50" s="443" t="n"/>
      <c r="J50" s="503" t="n"/>
      <c r="K50" s="504" t="n"/>
      <c r="M50" s="450" t="inlineStr">
        <is>
          <t>TOSO</t>
        </is>
      </c>
    </row>
    <row r="51" ht="23.25" customFormat="1" customHeight="1" s="439">
      <c r="A51" s="440" t="n"/>
      <c r="B51" s="441" t="n"/>
      <c r="C51" s="442" t="n"/>
      <c r="D51" s="443" t="n"/>
      <c r="E51" s="502" t="n"/>
      <c r="F51" s="470" t="n"/>
      <c r="G51" s="470" t="n"/>
      <c r="H51" s="505" t="n"/>
      <c r="I51" s="443" t="n"/>
      <c r="J51" s="503" t="n"/>
      <c r="K51" s="504" t="n"/>
      <c r="M51" s="450" t="inlineStr">
        <is>
          <t>VALDIR</t>
        </is>
      </c>
    </row>
    <row r="52" ht="12.75" customHeight="1" s="410">
      <c r="A52" s="483" t="inlineStr">
        <is>
          <t>SOMATÓRIO DOS VALORES REFERENTES AO FERRAMENTAL................................................................</t>
        </is>
      </c>
      <c r="B52" s="484" t="n"/>
      <c r="C52" s="484" t="n"/>
      <c r="D52" s="484" t="n"/>
      <c r="E52" s="484" t="n"/>
      <c r="F52" s="484" t="n"/>
      <c r="G52" s="484" t="n"/>
      <c r="H52" s="484" t="n"/>
      <c r="I52" s="485" t="n"/>
      <c r="J52" s="506" t="n"/>
      <c r="K52" s="456">
        <f>SUM(E45:E51)</f>
        <v/>
      </c>
    </row>
    <row r="53" hidden="1" ht="12.75" customHeight="1" s="410">
      <c r="A53" s="457" t="n"/>
      <c r="B53" s="427" t="n"/>
      <c r="C53" s="427" t="n"/>
      <c r="D53" s="427" t="n"/>
      <c r="E53" s="427" t="n"/>
      <c r="F53" s="427" t="n"/>
      <c r="G53" s="427" t="n"/>
      <c r="H53" s="427" t="n"/>
      <c r="I53" s="427" t="n"/>
      <c r="J53" s="427" t="n"/>
      <c r="K53" s="458" t="n"/>
    </row>
    <row r="54" hidden="1" ht="12.75" customHeight="1" s="410">
      <c r="A54" s="507" t="inlineStr">
        <is>
          <t>ENGENHARIA DA QUALIDADE</t>
        </is>
      </c>
      <c r="B54" s="460" t="n"/>
      <c r="C54" s="499" t="n"/>
      <c r="D54" s="508" t="inlineStr">
        <is>
          <t>TIPO DE ACABAMENTO SUPERFICIAL</t>
        </is>
      </c>
      <c r="E54" s="460" t="n"/>
      <c r="F54" s="460" t="n"/>
      <c r="G54" s="460" t="n"/>
      <c r="H54" s="460" t="n"/>
      <c r="I54" s="460" t="n"/>
      <c r="J54" s="460" t="n"/>
      <c r="K54" s="461" t="n"/>
    </row>
    <row r="55" hidden="1" ht="12.75" customHeight="1" s="410">
      <c r="A55" s="509" t="inlineStr">
        <is>
          <t>Nº OPER.</t>
        </is>
      </c>
      <c r="B55" s="510" t="inlineStr">
        <is>
          <t>DESCRIÇÃO DO ACABAMENTO</t>
        </is>
      </c>
      <c r="C55" s="431" t="n"/>
      <c r="D55" s="511" t="inlineStr">
        <is>
          <t>COMPONENTE</t>
        </is>
      </c>
      <c r="E55" s="512" t="inlineStr">
        <is>
          <t>OPERAÇÃO</t>
        </is>
      </c>
      <c r="F55" s="443" t="n"/>
      <c r="G55" s="512" t="n"/>
      <c r="H55" s="510" t="inlineStr">
        <is>
          <t>OUTROS</t>
        </is>
      </c>
      <c r="I55" s="510" t="inlineStr">
        <is>
          <t>Nº HOMENS</t>
        </is>
      </c>
      <c r="J55" s="513" t="n"/>
      <c r="K55" s="514" t="inlineStr">
        <is>
          <t>TEMPO (Pc/H)</t>
        </is>
      </c>
    </row>
    <row r="56" hidden="1" ht="12.75" customHeight="1" s="410">
      <c r="A56" s="433" t="n"/>
      <c r="B56" s="434" t="n"/>
      <c r="C56" s="435" t="n"/>
      <c r="D56" s="437" t="n"/>
      <c r="E56" s="512" t="inlineStr">
        <is>
          <t>INT</t>
        </is>
      </c>
      <c r="F56" s="512" t="inlineStr">
        <is>
          <t>EXT</t>
        </is>
      </c>
      <c r="G56" s="512" t="n"/>
      <c r="H56" s="437" t="n"/>
      <c r="I56" s="437" t="n"/>
      <c r="J56" s="513" t="n"/>
      <c r="K56" s="438" t="n"/>
    </row>
    <row r="57" hidden="1" ht="12.75" customHeight="1" s="410">
      <c r="A57" s="515" t="n"/>
      <c r="B57" s="516" t="n"/>
      <c r="C57" s="443" t="n"/>
      <c r="D57" s="517" t="n"/>
      <c r="E57" s="517" t="n"/>
      <c r="F57" s="517" t="n"/>
      <c r="G57" s="517" t="n"/>
      <c r="H57" s="517" t="n"/>
      <c r="I57" s="517" t="n"/>
      <c r="J57" s="518" t="n"/>
      <c r="K57" s="519" t="n"/>
    </row>
    <row r="58" hidden="1" ht="12.75" customHeight="1" s="410">
      <c r="A58" s="515" t="n"/>
      <c r="B58" s="516" t="n"/>
      <c r="C58" s="443" t="n"/>
      <c r="D58" s="517" t="n"/>
      <c r="E58" s="517" t="n"/>
      <c r="F58" s="517" t="n"/>
      <c r="G58" s="517" t="n"/>
      <c r="H58" s="517" t="n"/>
      <c r="I58" s="517" t="n"/>
      <c r="J58" s="518" t="n"/>
      <c r="K58" s="519" t="n"/>
    </row>
    <row r="59" hidden="1" ht="12.75" customHeight="1" s="410">
      <c r="A59" s="515" t="n"/>
      <c r="B59" s="516" t="n"/>
      <c r="C59" s="443" t="n"/>
      <c r="D59" s="517" t="n"/>
      <c r="E59" s="517" t="n"/>
      <c r="F59" s="517" t="n"/>
      <c r="G59" s="517" t="n"/>
      <c r="H59" s="517" t="n"/>
      <c r="I59" s="517" t="n"/>
      <c r="J59" s="518" t="n"/>
      <c r="K59" s="519" t="n"/>
    </row>
    <row r="60" hidden="1" ht="12.75" customHeight="1" s="410">
      <c r="A60" s="520" t="n"/>
      <c r="B60" s="442" t="n"/>
      <c r="C60" s="442" t="n"/>
      <c r="D60" s="442" t="n"/>
      <c r="E60" s="442" t="n"/>
      <c r="F60" s="442" t="n"/>
      <c r="G60" s="442" t="n"/>
      <c r="H60" s="442" t="n"/>
      <c r="I60" s="442" t="n"/>
      <c r="J60" s="442" t="n"/>
      <c r="K60" s="504" t="n"/>
    </row>
    <row r="61" hidden="1" ht="18" customHeight="1" s="410">
      <c r="A61" s="521" t="inlineStr">
        <is>
          <t>ENGENHARIA DA QUALIDADE</t>
        </is>
      </c>
      <c r="B61" s="423" t="n"/>
      <c r="C61" s="435" t="n"/>
      <c r="D61" s="522" t="inlineStr">
        <is>
          <t>MÉTODOS DE CONTROLE</t>
        </is>
      </c>
      <c r="E61" s="423" t="n"/>
      <c r="F61" s="423" t="n"/>
      <c r="G61" s="423" t="n"/>
      <c r="H61" s="423" t="n"/>
      <c r="I61" s="423" t="n"/>
      <c r="J61" s="423" t="n"/>
      <c r="K61" s="424" t="n"/>
    </row>
    <row r="62" hidden="1" ht="12.75" customHeight="1" s="410">
      <c r="A62" s="509" t="inlineStr">
        <is>
          <t>ENSAIOS NECESSÁRIOS</t>
        </is>
      </c>
      <c r="B62" s="465" t="n"/>
      <c r="C62" s="431" t="n"/>
      <c r="D62" s="510" t="inlineStr">
        <is>
          <t>SETOR</t>
        </is>
      </c>
      <c r="E62" s="512" t="inlineStr">
        <is>
          <t>SISTEMA</t>
        </is>
      </c>
      <c r="F62" s="443" t="n"/>
      <c r="G62" s="512" t="n"/>
      <c r="H62" s="510" t="inlineStr">
        <is>
          <t>DESCRIÇÃO</t>
        </is>
      </c>
      <c r="I62" s="431" t="n"/>
      <c r="J62" s="513" t="n"/>
      <c r="K62" s="514" t="inlineStr">
        <is>
          <t>VALOR R$</t>
        </is>
      </c>
    </row>
    <row r="63" hidden="1" ht="12.75" customHeight="1" s="410">
      <c r="A63" s="523" t="n"/>
      <c r="B63" s="423" t="n"/>
      <c r="C63" s="435" t="n"/>
      <c r="D63" s="437" t="n"/>
      <c r="E63" s="512" t="inlineStr">
        <is>
          <t>QS</t>
        </is>
      </c>
      <c r="F63" s="512" t="inlineStr">
        <is>
          <t xml:space="preserve">ISO </t>
        </is>
      </c>
      <c r="G63" s="512" t="n"/>
      <c r="H63" s="434" t="n"/>
      <c r="I63" s="435" t="n"/>
      <c r="J63" s="513" t="n"/>
      <c r="K63" s="438" t="n"/>
    </row>
    <row r="64" hidden="1" ht="12.75" customHeight="1" s="410">
      <c r="A64" s="524" t="n"/>
      <c r="B64" s="442" t="n"/>
      <c r="C64" s="443" t="n"/>
      <c r="D64" s="517" t="n"/>
      <c r="E64" s="517" t="n"/>
      <c r="F64" s="517" t="n"/>
      <c r="G64" s="517" t="n"/>
      <c r="H64" s="516" t="n"/>
      <c r="I64" s="443" t="n"/>
      <c r="J64" s="525" t="n"/>
      <c r="K64" s="526" t="n"/>
    </row>
    <row r="65" hidden="1" ht="12.75" customHeight="1" s="410">
      <c r="A65" s="524" t="n"/>
      <c r="B65" s="442" t="n"/>
      <c r="C65" s="443" t="n"/>
      <c r="D65" s="517" t="n"/>
      <c r="E65" s="517" t="n"/>
      <c r="F65" s="517" t="n"/>
      <c r="G65" s="517" t="n"/>
      <c r="H65" s="516" t="n"/>
      <c r="I65" s="443" t="n"/>
      <c r="J65" s="525" t="n"/>
      <c r="K65" s="526" t="n"/>
    </row>
    <row r="66" hidden="1" ht="12.75" customHeight="1" s="410">
      <c r="A66" s="524" t="n"/>
      <c r="B66" s="442" t="n"/>
      <c r="C66" s="443" t="n"/>
      <c r="D66" s="517" t="n"/>
      <c r="E66" s="517" t="n"/>
      <c r="F66" s="517" t="n"/>
      <c r="G66" s="517" t="n"/>
      <c r="H66" s="516" t="n"/>
      <c r="I66" s="443" t="n"/>
      <c r="J66" s="525" t="n"/>
      <c r="K66" s="526" t="n"/>
    </row>
    <row r="67" hidden="1" ht="12.75" customHeight="1" s="410">
      <c r="A67" s="483" t="inlineStr">
        <is>
          <t>SOMATÓRIO DOS VALORES REFERENTES A ENSAIOS................................................................</t>
        </is>
      </c>
      <c r="B67" s="484" t="n"/>
      <c r="C67" s="484" t="n"/>
      <c r="D67" s="484" t="n"/>
      <c r="E67" s="484" t="n"/>
      <c r="F67" s="484" t="n"/>
      <c r="G67" s="484" t="n"/>
      <c r="H67" s="484" t="n"/>
      <c r="I67" s="485" t="n"/>
      <c r="J67" s="527" t="n"/>
      <c r="K67" s="528">
        <f>SUM(K64:K66)</f>
        <v/>
      </c>
    </row>
    <row r="68" hidden="1" ht="12.75" customHeight="1" s="410">
      <c r="A68" s="457" t="n"/>
      <c r="B68" s="427" t="n"/>
      <c r="C68" s="427" t="n"/>
      <c r="D68" s="427" t="n"/>
      <c r="E68" s="427" t="n"/>
      <c r="F68" s="427" t="n"/>
      <c r="G68" s="427" t="n"/>
      <c r="H68" s="427" t="n"/>
      <c r="I68" s="427" t="n"/>
      <c r="J68" s="427" t="n"/>
      <c r="K68" s="458" t="n"/>
    </row>
    <row r="69" ht="18" customHeight="1" s="410">
      <c r="A69" s="529" t="inlineStr">
        <is>
          <t>OBSERVAÇÕES</t>
        </is>
      </c>
      <c r="B69" s="417" t="n"/>
      <c r="C69" s="417" t="n"/>
      <c r="D69" s="417" t="n"/>
      <c r="E69" s="417" t="n"/>
      <c r="F69" s="417" t="n"/>
      <c r="G69" s="417" t="n"/>
      <c r="H69" s="417" t="n"/>
      <c r="I69" s="417" t="n"/>
      <c r="J69" s="417" t="n"/>
      <c r="K69" s="530" t="n"/>
    </row>
    <row r="70" ht="23.25" customHeight="1" s="410">
      <c r="A70" s="531" t="n"/>
      <c r="B70" s="423" t="n"/>
      <c r="C70" s="423" t="n"/>
      <c r="D70" s="423" t="n"/>
      <c r="E70" s="423" t="n"/>
      <c r="F70" s="423" t="n"/>
      <c r="G70" s="423" t="n"/>
      <c r="H70" s="423" t="n"/>
      <c r="I70" s="423" t="n"/>
      <c r="J70" s="423" t="n"/>
      <c r="K70" s="424" t="n"/>
    </row>
    <row r="71" ht="23.25" customHeight="1" s="410">
      <c r="A71" s="532" t="n"/>
      <c r="B71" s="442" t="n"/>
      <c r="C71" s="442" t="n"/>
      <c r="D71" s="442" t="n"/>
      <c r="E71" s="442" t="n"/>
      <c r="F71" s="442" t="n"/>
      <c r="G71" s="442" t="n"/>
      <c r="H71" s="442" t="n"/>
      <c r="I71" s="442" t="n"/>
      <c r="J71" s="442" t="n"/>
      <c r="K71" s="504" t="n"/>
    </row>
    <row r="72" ht="23.25" customHeight="1" s="410">
      <c r="A72" s="532" t="n"/>
      <c r="B72" s="442" t="n"/>
      <c r="C72" s="442" t="n"/>
      <c r="D72" s="442" t="n"/>
      <c r="E72" s="442" t="n"/>
      <c r="F72" s="442" t="n"/>
      <c r="G72" s="442" t="n"/>
      <c r="H72" s="442" t="n"/>
      <c r="I72" s="442" t="n"/>
      <c r="J72" s="442" t="n"/>
      <c r="K72" s="504" t="n"/>
    </row>
    <row r="73" ht="23.25" customHeight="1" s="410">
      <c r="A73" s="532" t="n"/>
      <c r="B73" s="442" t="n"/>
      <c r="C73" s="442" t="n"/>
      <c r="D73" s="442" t="n"/>
      <c r="E73" s="442" t="n"/>
      <c r="F73" s="442" t="n"/>
      <c r="G73" s="442" t="n"/>
      <c r="H73" s="442" t="n"/>
      <c r="I73" s="442" t="n"/>
      <c r="J73" s="442" t="n"/>
      <c r="K73" s="504" t="n"/>
    </row>
    <row r="74" ht="23.25" customHeight="1" s="410">
      <c r="A74" s="532" t="n"/>
      <c r="B74" s="442" t="n"/>
      <c r="C74" s="442" t="n"/>
      <c r="D74" s="442" t="n"/>
      <c r="E74" s="442" t="n"/>
      <c r="F74" s="442" t="n"/>
      <c r="G74" s="442" t="n"/>
      <c r="H74" s="442" t="n"/>
      <c r="I74" s="442" t="n"/>
      <c r="J74" s="442" t="n"/>
      <c r="K74" s="504" t="n"/>
    </row>
  </sheetData>
  <mergeCells count="138">
    <mergeCell ref="E62:F62"/>
    <mergeCell ref="A73:K73"/>
    <mergeCell ref="D21:D22"/>
    <mergeCell ref="E23:F23"/>
    <mergeCell ref="A60:K60"/>
    <mergeCell ref="H55:H56"/>
    <mergeCell ref="E15:G15"/>
    <mergeCell ref="A70:K70"/>
    <mergeCell ref="B13:B14"/>
    <mergeCell ref="D13:D14"/>
    <mergeCell ref="A41:K41"/>
    <mergeCell ref="J45:K45"/>
    <mergeCell ref="B6:D6"/>
    <mergeCell ref="D62:D63"/>
    <mergeCell ref="E16:G16"/>
    <mergeCell ref="E34:F34"/>
    <mergeCell ref="H45:I45"/>
    <mergeCell ref="E27:F27"/>
    <mergeCell ref="E36:F36"/>
    <mergeCell ref="A42:K42"/>
    <mergeCell ref="H65:I65"/>
    <mergeCell ref="F43:G43"/>
    <mergeCell ref="A53:K53"/>
    <mergeCell ref="H15:I15"/>
    <mergeCell ref="A19:K19"/>
    <mergeCell ref="G21:G22"/>
    <mergeCell ref="K55:K56"/>
    <mergeCell ref="A66:C66"/>
    <mergeCell ref="I6:J6"/>
    <mergeCell ref="E55:F55"/>
    <mergeCell ref="E4:E5"/>
    <mergeCell ref="B8:D8"/>
    <mergeCell ref="A62:C63"/>
    <mergeCell ref="A11:K11"/>
    <mergeCell ref="H50:I50"/>
    <mergeCell ref="G7:H7"/>
    <mergeCell ref="I7:J7"/>
    <mergeCell ref="H49:I49"/>
    <mergeCell ref="B9:D9"/>
    <mergeCell ref="J49:K49"/>
    <mergeCell ref="E13:G14"/>
    <mergeCell ref="B43:D44"/>
    <mergeCell ref="J43:K44"/>
    <mergeCell ref="A21:A22"/>
    <mergeCell ref="H17:I17"/>
    <mergeCell ref="A52:I52"/>
    <mergeCell ref="A74:K74"/>
    <mergeCell ref="B45:D45"/>
    <mergeCell ref="A71:K71"/>
    <mergeCell ref="J21:J22"/>
    <mergeCell ref="D55:D56"/>
    <mergeCell ref="I8:J8"/>
    <mergeCell ref="E26:F26"/>
    <mergeCell ref="B47:D47"/>
    <mergeCell ref="A43:A44"/>
    <mergeCell ref="B46:D46"/>
    <mergeCell ref="E25:F25"/>
    <mergeCell ref="F4:F5"/>
    <mergeCell ref="A18:J18"/>
    <mergeCell ref="J46:K46"/>
    <mergeCell ref="H48:I48"/>
    <mergeCell ref="J51:K51"/>
    <mergeCell ref="E17:G17"/>
    <mergeCell ref="A68:K68"/>
    <mergeCell ref="G9:H9"/>
    <mergeCell ref="I9:J9"/>
    <mergeCell ref="J48:K48"/>
    <mergeCell ref="B48:D48"/>
    <mergeCell ref="A39:K39"/>
    <mergeCell ref="A1:K1"/>
    <mergeCell ref="B58:C58"/>
    <mergeCell ref="C2:E2"/>
    <mergeCell ref="A69:K69"/>
    <mergeCell ref="G4:H5"/>
    <mergeCell ref="I4:J5"/>
    <mergeCell ref="E29:F29"/>
    <mergeCell ref="B49:D49"/>
    <mergeCell ref="C21:C22"/>
    <mergeCell ref="B57:C57"/>
    <mergeCell ref="D61:K61"/>
    <mergeCell ref="E31:F31"/>
    <mergeCell ref="A38:I38"/>
    <mergeCell ref="B51:D51"/>
    <mergeCell ref="E21:F22"/>
    <mergeCell ref="F2:G2"/>
    <mergeCell ref="A12:K12"/>
    <mergeCell ref="H2:I2"/>
    <mergeCell ref="H16:I16"/>
    <mergeCell ref="A4:A5"/>
    <mergeCell ref="A13:A14"/>
    <mergeCell ref="B50:D50"/>
    <mergeCell ref="K4:K5"/>
    <mergeCell ref="A40:I40"/>
    <mergeCell ref="A67:I67"/>
    <mergeCell ref="H66:I66"/>
    <mergeCell ref="A64:C64"/>
    <mergeCell ref="J50:K50"/>
    <mergeCell ref="E32:F32"/>
    <mergeCell ref="A61:C61"/>
    <mergeCell ref="B21:B22"/>
    <mergeCell ref="A54:C54"/>
    <mergeCell ref="E43:E44"/>
    <mergeCell ref="J13:J14"/>
    <mergeCell ref="K21:K22"/>
    <mergeCell ref="E24:F24"/>
    <mergeCell ref="B59:C59"/>
    <mergeCell ref="E33:F33"/>
    <mergeCell ref="B4:D5"/>
    <mergeCell ref="H21:H22"/>
    <mergeCell ref="G8:H8"/>
    <mergeCell ref="A10:J10"/>
    <mergeCell ref="H13:I14"/>
    <mergeCell ref="E35:F35"/>
    <mergeCell ref="B55:C56"/>
    <mergeCell ref="H46:I46"/>
    <mergeCell ref="H64:I64"/>
    <mergeCell ref="H62:I63"/>
    <mergeCell ref="A55:A56"/>
    <mergeCell ref="H51:I51"/>
    <mergeCell ref="I21:I22"/>
    <mergeCell ref="E28:F28"/>
    <mergeCell ref="G6:H6"/>
    <mergeCell ref="A2:B2"/>
    <mergeCell ref="E30:F30"/>
    <mergeCell ref="A3:K3"/>
    <mergeCell ref="I55:I56"/>
    <mergeCell ref="K13:K14"/>
    <mergeCell ref="H47:I47"/>
    <mergeCell ref="B7:D7"/>
    <mergeCell ref="J47:K47"/>
    <mergeCell ref="C13:C14"/>
    <mergeCell ref="H43:I44"/>
    <mergeCell ref="K62:K63"/>
    <mergeCell ref="A20:K20"/>
    <mergeCell ref="A72:K72"/>
    <mergeCell ref="E37:F37"/>
    <mergeCell ref="D54:K54"/>
    <mergeCell ref="A65:C65"/>
  </mergeCells>
  <conditionalFormatting sqref="I6:I9 K6:K9">
    <cfRule type="cellIs" rank="0" priority="2" equalAverage="0" operator="equal" aboveAverage="0" dxfId="0" text="" percent="0" bottom="0">
      <formula>0</formula>
    </cfRule>
  </conditionalFormatting>
  <conditionalFormatting sqref="B6:B9">
    <cfRule type="expression" rank="0" priority="3" equalAverage="0" aboveAverage="0" dxfId="0" text="" percent="0" bottom="0">
      <formula>ISERROR(B6)</formula>
    </cfRule>
  </conditionalFormatting>
  <dataValidations count="2">
    <dataValidation sqref="I23:I37" showDropDown="0" showInputMessage="0" showErrorMessage="1" allowBlank="1" type="list" errorStyle="stop" operator="between">
      <formula1>$M$21:$M$28</formula1>
      <formula2>0</formula2>
    </dataValidation>
    <dataValidation sqref="H46:I51" showDropDown="0" showInputMessage="0" showErrorMessage="1" allowBlank="1" type="list" errorStyle="stop" operator="between">
      <formula1>$M$45:$M$51</formula1>
      <formula2>0</formula2>
    </dataValidation>
  </dataValidations>
  <printOptions horizontalCentered="1" verticalCentered="0" headings="0" gridLines="0" gridLinesSet="1"/>
  <pageMargins left="0.236111111111111" right="0.196527777777778" top="0.433333333333333" bottom="0.472916666666667" header="0.511811023622047" footer="0.157638888888889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&amp;L&amp;F&amp;C&amp;P / &amp;N  &amp;D  - &amp;T&amp;R&amp;A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V112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D63" activeCellId="0" sqref="D63"/>
    </sheetView>
  </sheetViews>
  <sheetFormatPr baseColWidth="8" defaultColWidth="11.53515625" defaultRowHeight="12.75" zeroHeight="1" outlineLevelRow="0"/>
  <cols>
    <col width="16.42" customWidth="1" style="408" min="1" max="1"/>
    <col width="31.56" customWidth="1" style="408" min="2" max="2"/>
    <col width="11.56" customWidth="1" style="408" min="3" max="3"/>
    <col width="12.56" customWidth="1" style="408" min="4" max="4"/>
    <col width="25.28" customWidth="1" style="408" min="5" max="5"/>
    <col width="13.7" customWidth="1" style="408" min="6" max="9"/>
    <col width="13.85" customWidth="1" style="408" min="10" max="10"/>
    <col width="13.7" customWidth="1" style="408" min="11" max="11"/>
    <col hidden="1" width="11.53" customWidth="1" style="408" min="12" max="12"/>
    <col hidden="1" width="11.53" customWidth="1" style="409" min="13" max="13"/>
    <col hidden="1" width="11.53" customWidth="1" style="408" min="14" max="257"/>
    <col hidden="1" width="11.53" customWidth="1" style="533" min="258" max="16384"/>
  </cols>
  <sheetData>
    <row r="1" ht="38.25" customFormat="1" customHeight="1" s="534">
      <c r="A1" s="535" t="n"/>
      <c r="B1" s="499" t="n"/>
      <c r="C1" s="536" t="inlineStr">
        <is>
          <t>FICHA DE ORÇAMENTO</t>
        </is>
      </c>
      <c r="D1" s="460" t="n"/>
      <c r="E1" s="460" t="n"/>
      <c r="F1" s="460" t="n"/>
      <c r="G1" s="499" t="n"/>
      <c r="H1" s="537" t="inlineStr">
        <is>
          <t>NÚMERO:</t>
        </is>
      </c>
      <c r="I1" s="538" t="n"/>
      <c r="J1" s="460" t="n"/>
      <c r="K1" s="499" t="n"/>
      <c r="M1" s="539" t="n"/>
    </row>
    <row r="2" ht="28.5" customFormat="1" customHeight="1" s="540">
      <c r="A2" s="541" t="inlineStr">
        <is>
          <t>CLIENTE:</t>
        </is>
      </c>
      <c r="B2" s="542" t="n"/>
      <c r="C2" s="543" t="n"/>
      <c r="D2" s="543" t="n"/>
      <c r="E2" s="448" t="n"/>
      <c r="F2" s="544" t="inlineStr">
        <is>
          <t>CÓDIGO  / DESENHO:</t>
        </is>
      </c>
      <c r="G2" s="545" t="n"/>
      <c r="H2" s="546" t="n"/>
      <c r="I2" s="543" t="n"/>
      <c r="J2" s="543" t="n"/>
      <c r="K2" s="543" t="n"/>
      <c r="L2" s="543" t="n"/>
      <c r="M2" s="543" t="n"/>
      <c r="N2" s="543" t="n"/>
      <c r="O2" s="543" t="n"/>
      <c r="P2" s="543" t="n"/>
      <c r="Q2" s="543" t="n"/>
      <c r="R2" s="543" t="n"/>
      <c r="S2" s="543" t="n"/>
      <c r="T2" s="543" t="n"/>
      <c r="U2" s="543" t="n"/>
      <c r="V2" s="543" t="n"/>
      <c r="W2" s="543" t="n"/>
      <c r="X2" s="543" t="n"/>
      <c r="Y2" s="543" t="n"/>
      <c r="Z2" s="543" t="n"/>
      <c r="AA2" s="543" t="n"/>
      <c r="AB2" s="543" t="n"/>
      <c r="AC2" s="543" t="n"/>
      <c r="AD2" s="543" t="n"/>
      <c r="AE2" s="543" t="n"/>
      <c r="AF2" s="543" t="n"/>
      <c r="AG2" s="543" t="n"/>
      <c r="AH2" s="543" t="n"/>
      <c r="AI2" s="543" t="n"/>
      <c r="AJ2" s="543" t="n"/>
      <c r="AK2" s="543" t="n"/>
      <c r="AL2" s="543" t="n"/>
      <c r="AM2" s="543" t="n"/>
      <c r="AN2" s="543" t="n"/>
      <c r="AO2" s="543" t="n"/>
      <c r="AP2" s="543" t="n"/>
      <c r="AQ2" s="543" t="n"/>
      <c r="AR2" s="543" t="n"/>
      <c r="AS2" s="543" t="n"/>
      <c r="AT2" s="543" t="n"/>
      <c r="AU2" s="543" t="n"/>
      <c r="AV2" s="543" t="n"/>
      <c r="AW2" s="543" t="n"/>
      <c r="AX2" s="543" t="n"/>
      <c r="AY2" s="543" t="n"/>
      <c r="AZ2" s="543" t="n"/>
      <c r="BA2" s="543" t="n"/>
      <c r="BB2" s="543" t="n"/>
      <c r="BC2" s="543" t="n"/>
      <c r="BD2" s="543" t="n"/>
      <c r="BE2" s="543" t="n"/>
      <c r="BF2" s="543" t="n"/>
      <c r="BG2" s="543" t="n"/>
      <c r="BH2" s="543" t="n"/>
      <c r="BI2" s="543" t="n"/>
      <c r="BJ2" s="543" t="n"/>
      <c r="BK2" s="543" t="n"/>
      <c r="BL2" s="543" t="n"/>
      <c r="BM2" s="543" t="n"/>
      <c r="BN2" s="543" t="n"/>
      <c r="BO2" s="543" t="n"/>
      <c r="BP2" s="543" t="n"/>
      <c r="BQ2" s="543" t="n"/>
      <c r="BR2" s="543" t="n"/>
      <c r="BS2" s="543" t="n"/>
      <c r="BT2" s="543" t="n"/>
      <c r="BU2" s="543" t="n"/>
      <c r="BV2" s="543" t="n"/>
      <c r="BW2" s="543" t="n"/>
      <c r="BX2" s="543" t="n"/>
      <c r="BY2" s="543" t="n"/>
      <c r="BZ2" s="543" t="n"/>
      <c r="CA2" s="543" t="n"/>
      <c r="CB2" s="543" t="n"/>
      <c r="CC2" s="543" t="n"/>
      <c r="CD2" s="543" t="n"/>
      <c r="CE2" s="543" t="n"/>
      <c r="CF2" s="543" t="n"/>
      <c r="CG2" s="543" t="n"/>
      <c r="CH2" s="543" t="n"/>
      <c r="CI2" s="543" t="n"/>
      <c r="CJ2" s="543" t="n"/>
      <c r="CK2" s="543" t="n"/>
      <c r="CL2" s="543" t="n"/>
      <c r="CM2" s="543" t="n"/>
      <c r="CN2" s="543" t="n"/>
      <c r="CO2" s="543" t="n"/>
      <c r="CP2" s="543" t="n"/>
      <c r="CQ2" s="543" t="n"/>
      <c r="CR2" s="543" t="n"/>
      <c r="CS2" s="543" t="n"/>
      <c r="CT2" s="543" t="n"/>
      <c r="CU2" s="543" t="n"/>
      <c r="CV2" s="543" t="n"/>
      <c r="CW2" s="543" t="n"/>
      <c r="CX2" s="543" t="n"/>
      <c r="CY2" s="543" t="n"/>
      <c r="CZ2" s="543" t="n"/>
      <c r="DA2" s="543" t="n"/>
      <c r="DB2" s="543" t="n"/>
      <c r="DC2" s="543" t="n"/>
      <c r="DD2" s="543" t="n"/>
      <c r="DE2" s="543" t="n"/>
      <c r="DF2" s="543" t="n"/>
      <c r="DG2" s="543" t="n"/>
      <c r="DH2" s="543" t="n"/>
      <c r="DI2" s="543" t="n"/>
      <c r="DJ2" s="543" t="n"/>
      <c r="DK2" s="543" t="n"/>
      <c r="DL2" s="543" t="n"/>
      <c r="DM2" s="543" t="n"/>
      <c r="DN2" s="543" t="n"/>
      <c r="DO2" s="543" t="n"/>
      <c r="DP2" s="543" t="n"/>
      <c r="DQ2" s="543" t="n"/>
      <c r="DR2" s="543" t="n"/>
      <c r="DS2" s="543" t="n"/>
      <c r="DT2" s="543" t="n"/>
      <c r="DU2" s="543" t="n"/>
      <c r="DV2" s="543" t="n"/>
      <c r="DW2" s="543" t="n"/>
      <c r="DX2" s="543" t="n"/>
      <c r="DY2" s="543" t="n"/>
      <c r="DZ2" s="543" t="n"/>
      <c r="EA2" s="543" t="n"/>
      <c r="EB2" s="543" t="n"/>
      <c r="EC2" s="543" t="n"/>
      <c r="ED2" s="543" t="n"/>
      <c r="EE2" s="543" t="n"/>
      <c r="EF2" s="543" t="n"/>
      <c r="EG2" s="543" t="n"/>
      <c r="EH2" s="543" t="n"/>
      <c r="EI2" s="543" t="n"/>
      <c r="EJ2" s="543" t="n"/>
      <c r="EK2" s="543" t="n"/>
      <c r="EL2" s="543" t="n"/>
      <c r="EM2" s="543" t="n"/>
      <c r="EN2" s="543" t="n"/>
      <c r="EO2" s="543" t="n"/>
      <c r="EP2" s="543" t="n"/>
      <c r="EQ2" s="543" t="n"/>
      <c r="ER2" s="543" t="n"/>
      <c r="ES2" s="543" t="n"/>
      <c r="ET2" s="543" t="n"/>
      <c r="EU2" s="543" t="n"/>
      <c r="EV2" s="543" t="n"/>
      <c r="EW2" s="543" t="n"/>
      <c r="EX2" s="543" t="n"/>
      <c r="EY2" s="543" t="n"/>
      <c r="EZ2" s="543" t="n"/>
      <c r="FA2" s="543" t="n"/>
      <c r="FB2" s="543" t="n"/>
      <c r="FC2" s="543" t="n"/>
      <c r="FD2" s="543" t="n"/>
      <c r="FE2" s="543" t="n"/>
      <c r="FF2" s="543" t="n"/>
      <c r="FG2" s="543" t="n"/>
      <c r="FH2" s="543" t="n"/>
      <c r="FI2" s="543" t="n"/>
      <c r="FJ2" s="543" t="n"/>
      <c r="FK2" s="543" t="n"/>
      <c r="FL2" s="543" t="n"/>
      <c r="FM2" s="543" t="n"/>
      <c r="FN2" s="543" t="n"/>
      <c r="FO2" s="543" t="n"/>
      <c r="FP2" s="543" t="n"/>
      <c r="FQ2" s="543" t="n"/>
      <c r="FR2" s="543" t="n"/>
      <c r="FS2" s="543" t="n"/>
      <c r="FT2" s="543" t="n"/>
      <c r="FU2" s="543" t="n"/>
      <c r="FV2" s="543" t="n"/>
      <c r="FW2" s="543" t="n"/>
      <c r="FX2" s="543" t="n"/>
      <c r="FY2" s="543" t="n"/>
      <c r="FZ2" s="543" t="n"/>
      <c r="GA2" s="543" t="n"/>
      <c r="GB2" s="543" t="n"/>
      <c r="GC2" s="543" t="n"/>
      <c r="GD2" s="543" t="n"/>
      <c r="GE2" s="543" t="n"/>
      <c r="GF2" s="543" t="n"/>
      <c r="GG2" s="543" t="n"/>
      <c r="GH2" s="543" t="n"/>
      <c r="GI2" s="543" t="n"/>
      <c r="GJ2" s="543" t="n"/>
      <c r="GK2" s="543" t="n"/>
      <c r="GL2" s="543" t="n"/>
      <c r="GM2" s="543" t="n"/>
      <c r="GN2" s="543" t="n"/>
      <c r="GO2" s="543" t="n"/>
      <c r="GP2" s="543" t="n"/>
      <c r="GQ2" s="543" t="n"/>
      <c r="GR2" s="543" t="n"/>
      <c r="GS2" s="543" t="n"/>
      <c r="GT2" s="543" t="n"/>
      <c r="GU2" s="543" t="n"/>
      <c r="GV2" s="543" t="n"/>
      <c r="GW2" s="543" t="n"/>
      <c r="GX2" s="543" t="n"/>
      <c r="GY2" s="543" t="n"/>
      <c r="GZ2" s="543" t="n"/>
      <c r="HA2" s="543" t="n"/>
      <c r="HB2" s="543" t="n"/>
      <c r="HC2" s="543" t="n"/>
      <c r="HD2" s="543" t="n"/>
      <c r="HE2" s="543" t="n"/>
      <c r="HF2" s="543" t="n"/>
      <c r="HG2" s="543" t="n"/>
      <c r="HH2" s="543" t="n"/>
      <c r="HI2" s="543" t="n"/>
      <c r="HJ2" s="543" t="n"/>
      <c r="HK2" s="543" t="n"/>
      <c r="HL2" s="543" t="n"/>
      <c r="HM2" s="543" t="n"/>
      <c r="HN2" s="543" t="n"/>
      <c r="HO2" s="543" t="n"/>
      <c r="HP2" s="543" t="n"/>
      <c r="HQ2" s="543" t="n"/>
      <c r="HR2" s="543" t="n"/>
      <c r="HS2" s="543" t="n"/>
      <c r="HT2" s="543" t="n"/>
      <c r="HU2" s="543" t="n"/>
      <c r="HV2" s="543" t="n"/>
      <c r="HW2" s="543" t="n"/>
      <c r="HX2" s="543" t="n"/>
      <c r="HY2" s="543" t="n"/>
      <c r="HZ2" s="543" t="n"/>
      <c r="IA2" s="543" t="n"/>
      <c r="IB2" s="543" t="n"/>
      <c r="IC2" s="543" t="n"/>
      <c r="ID2" s="543" t="n"/>
      <c r="IE2" s="543" t="n"/>
      <c r="IF2" s="543" t="n"/>
      <c r="IG2" s="543" t="n"/>
      <c r="IH2" s="543" t="n"/>
      <c r="II2" s="543" t="n"/>
      <c r="IJ2" s="543" t="n"/>
      <c r="IK2" s="543" t="n"/>
      <c r="IL2" s="543" t="n"/>
      <c r="IM2" s="543" t="n"/>
      <c r="IN2" s="543" t="n"/>
      <c r="IO2" s="543" t="n"/>
      <c r="IP2" s="543" t="n"/>
      <c r="IQ2" s="543" t="n"/>
      <c r="IR2" s="543" t="n"/>
      <c r="IS2" s="543" t="n"/>
      <c r="IT2" s="543" t="n"/>
      <c r="IU2" s="543" t="n"/>
      <c r="IV2" s="448" t="n"/>
    </row>
    <row r="3" ht="28.5" customFormat="1" customHeight="1" s="547">
      <c r="A3" s="548" t="inlineStr">
        <is>
          <t>DESCRIÇÃO DA PEÇA:</t>
        </is>
      </c>
      <c r="B3" s="443" t="n"/>
      <c r="C3" s="549" t="n"/>
      <c r="D3" s="543" t="n"/>
      <c r="E3" s="448" t="n"/>
      <c r="F3" s="550" t="inlineStr">
        <is>
          <t>CONSUMO PEÇAS/MÊS:</t>
        </is>
      </c>
      <c r="G3" s="443" t="n"/>
      <c r="H3" s="551" t="n"/>
      <c r="I3" s="552" t="inlineStr">
        <is>
          <t>LOTE ECONÔMICO:</t>
        </is>
      </c>
      <c r="J3" s="448" t="n"/>
      <c r="K3" s="553" t="n"/>
      <c r="M3" s="554" t="n"/>
    </row>
    <row r="4" ht="28.5" customFormat="1" customHeight="1" s="547">
      <c r="A4" s="548" t="inlineStr">
        <is>
          <t>ITEM SIMILAR:</t>
        </is>
      </c>
      <c r="B4" s="510" t="n"/>
      <c r="C4" s="442" t="n"/>
      <c r="D4" s="442" t="n"/>
      <c r="E4" s="442" t="n"/>
      <c r="F4" s="442" t="n"/>
      <c r="G4" s="442" t="n"/>
      <c r="H4" s="442" t="n"/>
      <c r="I4" s="442" t="n"/>
      <c r="J4" s="442" t="n"/>
      <c r="K4" s="443" t="n"/>
      <c r="M4" s="554" t="n"/>
    </row>
    <row r="5" ht="12.75" customFormat="1" customHeight="1" s="555">
      <c r="A5" s="556" t="n"/>
      <c r="B5" s="454" t="n"/>
      <c r="C5" s="454" t="n"/>
      <c r="D5" s="454" t="n"/>
      <c r="E5" s="454" t="n"/>
      <c r="F5" s="454" t="n"/>
      <c r="G5" s="454" t="n"/>
      <c r="H5" s="454" t="n"/>
      <c r="I5" s="454" t="n"/>
      <c r="J5" s="454" t="n"/>
      <c r="K5" s="557" t="n"/>
      <c r="M5" s="558" t="n"/>
    </row>
    <row r="6" ht="21" customHeight="1" s="410">
      <c r="A6" s="559" t="inlineStr">
        <is>
          <t>ESTRUTURA</t>
        </is>
      </c>
      <c r="B6" s="427" t="n"/>
      <c r="C6" s="427" t="n"/>
      <c r="D6" s="427" t="n"/>
      <c r="E6" s="427" t="n"/>
      <c r="F6" s="427" t="n"/>
      <c r="G6" s="427" t="n"/>
      <c r="H6" s="427" t="n"/>
      <c r="I6" s="427" t="n"/>
      <c r="J6" s="428" t="n"/>
      <c r="K6" s="560" t="n"/>
    </row>
    <row r="7" ht="12.75" customHeight="1" s="410">
      <c r="A7" s="561" t="inlineStr">
        <is>
          <t>CÓD. MATERIAL</t>
        </is>
      </c>
      <c r="B7" s="562" t="inlineStr">
        <is>
          <t>DESCRIÇÃO DOS COMPONENTES</t>
        </is>
      </c>
      <c r="C7" s="562" t="inlineStr">
        <is>
          <t>QUANT.</t>
        </is>
      </c>
      <c r="D7" s="562" t="inlineStr">
        <is>
          <t xml:space="preserve">UN </t>
        </is>
      </c>
      <c r="E7" s="562" t="inlineStr">
        <is>
          <t>MATÉRIA-PRIMA</t>
        </is>
      </c>
      <c r="F7" s="562" t="inlineStr">
        <is>
          <t>TOTAL MATÉRIA-PRIMA</t>
        </is>
      </c>
      <c r="G7" s="562" t="inlineStr">
        <is>
          <t>EXTERNO (TERCEIROS)</t>
        </is>
      </c>
      <c r="H7" s="562" t="inlineStr">
        <is>
          <t>TOTAL EXTERNO</t>
        </is>
      </c>
      <c r="I7" s="562" t="inlineStr">
        <is>
          <t>SET-UP INTERNA</t>
        </is>
      </c>
      <c r="J7" s="562" t="inlineStr">
        <is>
          <t>MÃO-DE-OBRA INTERNA</t>
        </is>
      </c>
      <c r="K7" s="563" t="inlineStr">
        <is>
          <t>TOTAL MÃO DE OBRA</t>
        </is>
      </c>
    </row>
    <row r="8" ht="12.75" customHeight="1" s="410">
      <c r="A8" s="433" t="n"/>
      <c r="B8" s="437" t="n"/>
      <c r="C8" s="437" t="n"/>
      <c r="D8" s="437" t="n"/>
      <c r="E8" s="437" t="n"/>
      <c r="F8" s="437" t="n"/>
      <c r="G8" s="437" t="n"/>
      <c r="H8" s="437" t="n"/>
      <c r="I8" s="437" t="n"/>
      <c r="J8" s="437" t="n"/>
      <c r="K8" s="438" t="n"/>
    </row>
    <row r="9" ht="12.75" customHeight="1" s="410">
      <c r="A9" s="564" t="n"/>
      <c r="B9" s="565" t="n"/>
      <c r="C9" s="566" t="n"/>
      <c r="D9" s="566" t="n"/>
      <c r="E9" s="567" t="n"/>
      <c r="F9" s="568">
        <f>E9*C9</f>
        <v/>
      </c>
      <c r="G9" s="568" t="n"/>
      <c r="H9" s="568">
        <f>G9*C9</f>
        <v/>
      </c>
      <c r="I9" s="568" t="n"/>
      <c r="J9" s="568" t="n"/>
      <c r="K9" s="569">
        <f>J9*C9</f>
        <v/>
      </c>
    </row>
    <row r="10" ht="12.75" customHeight="1" s="410">
      <c r="A10" s="570" t="n"/>
      <c r="B10" s="565" t="n"/>
      <c r="C10" s="566" t="n"/>
      <c r="D10" s="566" t="n"/>
      <c r="E10" s="567" t="n"/>
      <c r="F10" s="568">
        <f>E10*C10</f>
        <v/>
      </c>
      <c r="G10" s="568" t="n"/>
      <c r="H10" s="568">
        <f>G10*C10</f>
        <v/>
      </c>
      <c r="I10" s="568" t="n"/>
      <c r="J10" s="568" t="n"/>
      <c r="K10" s="569">
        <f>J10*C10</f>
        <v/>
      </c>
    </row>
    <row r="11" ht="12.75" customHeight="1" s="410">
      <c r="A11" s="570" t="n"/>
      <c r="B11" s="565" t="n"/>
      <c r="C11" s="566" t="n"/>
      <c r="D11" s="566" t="n"/>
      <c r="E11" s="567" t="n"/>
      <c r="F11" s="568">
        <f>E11*C11</f>
        <v/>
      </c>
      <c r="G11" s="568" t="n"/>
      <c r="H11" s="568">
        <f>G11*C11</f>
        <v/>
      </c>
      <c r="I11" s="568" t="n"/>
      <c r="J11" s="568" t="n"/>
      <c r="K11" s="569">
        <f>J11*C11</f>
        <v/>
      </c>
    </row>
    <row r="12" ht="12.75" customHeight="1" s="410">
      <c r="A12" s="570" t="n"/>
      <c r="B12" s="565" t="n"/>
      <c r="C12" s="566" t="n"/>
      <c r="D12" s="566" t="n"/>
      <c r="E12" s="567" t="n"/>
      <c r="F12" s="568">
        <f>E12*C12</f>
        <v/>
      </c>
      <c r="G12" s="568" t="n"/>
      <c r="H12" s="568">
        <f>G12*C12</f>
        <v/>
      </c>
      <c r="I12" s="568" t="n"/>
      <c r="J12" s="568" t="n"/>
      <c r="K12" s="569">
        <f>J12*C12</f>
        <v/>
      </c>
    </row>
    <row r="13" ht="12.75" customHeight="1" s="410">
      <c r="A13" s="570" t="n"/>
      <c r="B13" s="565" t="n"/>
      <c r="C13" s="566" t="n"/>
      <c r="D13" s="566" t="n"/>
      <c r="E13" s="567" t="n"/>
      <c r="F13" s="568">
        <f>E13*C13</f>
        <v/>
      </c>
      <c r="G13" s="568" t="n"/>
      <c r="H13" s="568">
        <f>G13*C13</f>
        <v/>
      </c>
      <c r="I13" s="568" t="n"/>
      <c r="J13" s="568" t="n"/>
      <c r="K13" s="569">
        <f>J13*C13</f>
        <v/>
      </c>
    </row>
    <row r="14" ht="12.75" customHeight="1" s="410">
      <c r="A14" s="570" t="n"/>
      <c r="B14" s="565" t="n"/>
      <c r="C14" s="566" t="n"/>
      <c r="D14" s="566" t="n"/>
      <c r="E14" s="567" t="n"/>
      <c r="F14" s="568">
        <f>E14*C14</f>
        <v/>
      </c>
      <c r="G14" s="568" t="n"/>
      <c r="H14" s="568">
        <f>G14*C14</f>
        <v/>
      </c>
      <c r="I14" s="568" t="n"/>
      <c r="J14" s="568" t="n"/>
      <c r="K14" s="569">
        <f>J14*C14</f>
        <v/>
      </c>
    </row>
    <row r="15" ht="12.75" customHeight="1" s="410">
      <c r="A15" s="570" t="n"/>
      <c r="B15" s="565" t="n"/>
      <c r="C15" s="566" t="n"/>
      <c r="D15" s="566" t="n"/>
      <c r="E15" s="567" t="n"/>
      <c r="F15" s="568">
        <f>E15*C15</f>
        <v/>
      </c>
      <c r="G15" s="568" t="n"/>
      <c r="H15" s="568">
        <f>G15*C15</f>
        <v/>
      </c>
      <c r="I15" s="568" t="n"/>
      <c r="J15" s="568" t="n"/>
      <c r="K15" s="569">
        <f>J15*C15</f>
        <v/>
      </c>
    </row>
    <row r="16" ht="12.75" customHeight="1" s="410">
      <c r="A16" s="570" t="n"/>
      <c r="B16" s="565" t="n"/>
      <c r="C16" s="566" t="n"/>
      <c r="D16" s="566" t="n"/>
      <c r="E16" s="567" t="n"/>
      <c r="F16" s="568">
        <f>E16*C16</f>
        <v/>
      </c>
      <c r="G16" s="568" t="n"/>
      <c r="H16" s="568">
        <f>G16*C16</f>
        <v/>
      </c>
      <c r="I16" s="568" t="n"/>
      <c r="J16" s="568" t="n"/>
      <c r="K16" s="569">
        <f>J16*C16</f>
        <v/>
      </c>
    </row>
    <row r="17" ht="12.75" customHeight="1" s="410">
      <c r="A17" s="570" t="n"/>
      <c r="B17" s="565" t="n"/>
      <c r="C17" s="566" t="n"/>
      <c r="D17" s="566" t="n"/>
      <c r="E17" s="567" t="n"/>
      <c r="F17" s="568">
        <f>E17*C17</f>
        <v/>
      </c>
      <c r="G17" s="568" t="n"/>
      <c r="H17" s="568">
        <f>G17*C17</f>
        <v/>
      </c>
      <c r="I17" s="568" t="n"/>
      <c r="J17" s="568" t="n"/>
      <c r="K17" s="569">
        <f>J17*C17</f>
        <v/>
      </c>
    </row>
    <row r="18" ht="12.75" customHeight="1" s="410">
      <c r="A18" s="570" t="n"/>
      <c r="B18" s="565" t="n"/>
      <c r="C18" s="566" t="n"/>
      <c r="D18" s="566" t="n"/>
      <c r="E18" s="567" t="n"/>
      <c r="F18" s="568">
        <f>E18*C18</f>
        <v/>
      </c>
      <c r="G18" s="568" t="n"/>
      <c r="H18" s="568">
        <f>G18*C18</f>
        <v/>
      </c>
      <c r="I18" s="568" t="n"/>
      <c r="J18" s="568" t="n"/>
      <c r="K18" s="569">
        <f>J18*C18</f>
        <v/>
      </c>
    </row>
    <row r="19" ht="12.75" customHeight="1" s="410">
      <c r="A19" s="570" t="n"/>
      <c r="B19" s="565" t="n"/>
      <c r="C19" s="566" t="n"/>
      <c r="D19" s="566" t="n"/>
      <c r="E19" s="567" t="n"/>
      <c r="F19" s="568">
        <f>E19*C19</f>
        <v/>
      </c>
      <c r="G19" s="568" t="n"/>
      <c r="H19" s="568">
        <f>G19*C19</f>
        <v/>
      </c>
      <c r="I19" s="568" t="n"/>
      <c r="J19" s="568" t="n"/>
      <c r="K19" s="569">
        <f>J19*C19</f>
        <v/>
      </c>
    </row>
    <row r="20" ht="12.75" customHeight="1" s="410">
      <c r="A20" s="570" t="n"/>
      <c r="B20" s="565" t="n"/>
      <c r="C20" s="566" t="n"/>
      <c r="D20" s="566" t="n"/>
      <c r="E20" s="567" t="n"/>
      <c r="F20" s="568">
        <f>E20*C20</f>
        <v/>
      </c>
      <c r="G20" s="568" t="n"/>
      <c r="H20" s="568">
        <f>G20*C20</f>
        <v/>
      </c>
      <c r="I20" s="568" t="n"/>
      <c r="J20" s="568" t="n"/>
      <c r="K20" s="569">
        <f>J20*C20</f>
        <v/>
      </c>
    </row>
    <row r="21" ht="12.75" customHeight="1" s="410">
      <c r="A21" s="570" t="n"/>
      <c r="B21" s="565" t="n"/>
      <c r="C21" s="566" t="n"/>
      <c r="D21" s="566" t="n"/>
      <c r="E21" s="567" t="n"/>
      <c r="F21" s="568">
        <f>E21*C21</f>
        <v/>
      </c>
      <c r="G21" s="568" t="n"/>
      <c r="H21" s="568">
        <f>G21*C21</f>
        <v/>
      </c>
      <c r="I21" s="568" t="n"/>
      <c r="J21" s="568" t="n"/>
      <c r="K21" s="569">
        <f>J21*C21</f>
        <v/>
      </c>
    </row>
    <row r="22" ht="12.75" customHeight="1" s="410">
      <c r="A22" s="570" t="n"/>
      <c r="B22" s="565" t="n"/>
      <c r="C22" s="566" t="n"/>
      <c r="D22" s="566" t="n"/>
      <c r="E22" s="567" t="n"/>
      <c r="F22" s="568">
        <f>E22*C22</f>
        <v/>
      </c>
      <c r="G22" s="568" t="n"/>
      <c r="H22" s="568">
        <f>G22*C22</f>
        <v/>
      </c>
      <c r="I22" s="568" t="n"/>
      <c r="J22" s="568" t="n"/>
      <c r="K22" s="569">
        <f>J22*C22</f>
        <v/>
      </c>
    </row>
    <row r="23" ht="12.75" customHeight="1" s="410">
      <c r="A23" s="570" t="n"/>
      <c r="B23" s="565" t="n"/>
      <c r="C23" s="566" t="n"/>
      <c r="D23" s="566" t="n"/>
      <c r="E23" s="567" t="n"/>
      <c r="F23" s="568">
        <f>E23*C23</f>
        <v/>
      </c>
      <c r="G23" s="568" t="n"/>
      <c r="H23" s="568">
        <f>G23*C23</f>
        <v/>
      </c>
      <c r="I23" s="568" t="n"/>
      <c r="J23" s="568" t="n"/>
      <c r="K23" s="569">
        <f>J23*C23</f>
        <v/>
      </c>
    </row>
    <row r="24" ht="12.75" customHeight="1" s="410">
      <c r="A24" s="570" t="n"/>
      <c r="B24" s="565" t="n"/>
      <c r="C24" s="566" t="n"/>
      <c r="D24" s="566" t="n"/>
      <c r="E24" s="567" t="n"/>
      <c r="F24" s="568">
        <f>E24*C24</f>
        <v/>
      </c>
      <c r="G24" s="568" t="n"/>
      <c r="H24" s="568">
        <f>G24*C24</f>
        <v/>
      </c>
      <c r="I24" s="568" t="n"/>
      <c r="J24" s="568" t="n"/>
      <c r="K24" s="569">
        <f>J24*C24</f>
        <v/>
      </c>
    </row>
    <row r="25" ht="12.75" customHeight="1" s="410">
      <c r="A25" s="570" t="n"/>
      <c r="B25" s="565" t="n"/>
      <c r="C25" s="566" t="n"/>
      <c r="D25" s="566" t="n"/>
      <c r="E25" s="567" t="n"/>
      <c r="F25" s="568">
        <f>E25*C25</f>
        <v/>
      </c>
      <c r="G25" s="568" t="n"/>
      <c r="H25" s="568">
        <f>G25*C25</f>
        <v/>
      </c>
      <c r="I25" s="568" t="n"/>
      <c r="J25" s="568" t="n"/>
      <c r="K25" s="569">
        <f>J25*C25</f>
        <v/>
      </c>
    </row>
    <row r="26" ht="13.5" customHeight="1" s="410">
      <c r="A26" s="571" t="n"/>
      <c r="B26" s="572" t="n"/>
      <c r="C26" s="573" t="n"/>
      <c r="D26" s="573" t="n"/>
      <c r="E26" s="574" t="n"/>
      <c r="F26" s="575">
        <f>E26*C26</f>
        <v/>
      </c>
      <c r="G26" s="576" t="n"/>
      <c r="H26" s="576">
        <f>G26*C26</f>
        <v/>
      </c>
      <c r="I26" s="568" t="n"/>
      <c r="J26" s="576" t="n"/>
      <c r="K26" s="569">
        <f>J26*C26</f>
        <v/>
      </c>
    </row>
    <row r="27" ht="12.75" customHeight="1" s="410">
      <c r="A27" s="577" t="n"/>
      <c r="B27" s="578" t="n"/>
      <c r="C27" s="579" t="n"/>
      <c r="D27" s="580" t="n"/>
      <c r="E27" s="581" t="n"/>
      <c r="F27" s="582">
        <f>E27*C27</f>
        <v/>
      </c>
      <c r="H27" s="583" t="n"/>
      <c r="I27" s="583" t="n"/>
      <c r="J27" s="584" t="n"/>
      <c r="K27" s="585" t="n"/>
    </row>
    <row r="28" ht="12.75" customHeight="1" s="410">
      <c r="A28" s="586" t="n"/>
      <c r="B28" s="587" t="n"/>
      <c r="C28" s="588" t="n"/>
      <c r="D28" s="589" t="n"/>
      <c r="E28" s="590" t="n"/>
      <c r="F28" s="591">
        <f>E28*C28</f>
        <v/>
      </c>
      <c r="H28" s="592" t="n"/>
      <c r="I28" s="592" t="n"/>
      <c r="J28" s="593" t="n"/>
      <c r="K28" s="594" t="n"/>
    </row>
    <row r="29" ht="12.75" customHeight="1" s="410">
      <c r="A29" s="586" t="n"/>
      <c r="B29" s="587" t="n"/>
      <c r="C29" s="595" t="n"/>
      <c r="D29" s="589" t="n"/>
      <c r="E29" s="596" t="n"/>
      <c r="F29" s="591">
        <f>E29*C29</f>
        <v/>
      </c>
      <c r="H29" s="592" t="n"/>
      <c r="I29" s="592" t="n"/>
      <c r="J29" s="593" t="n"/>
      <c r="K29" s="594" t="n"/>
    </row>
    <row r="30" ht="12.75" customHeight="1" s="410">
      <c r="A30" s="586" t="n"/>
      <c r="B30" s="587" t="n"/>
      <c r="C30" s="595" t="n"/>
      <c r="D30" s="589" t="n"/>
      <c r="E30" s="596" t="n"/>
      <c r="F30" s="591">
        <f>E30*C30</f>
        <v/>
      </c>
      <c r="H30" s="592" t="n"/>
      <c r="I30" s="592" t="n"/>
      <c r="J30" s="593" t="n"/>
      <c r="K30" s="594" t="n"/>
    </row>
    <row r="31" ht="12.75" customHeight="1" s="410">
      <c r="A31" s="586" t="n"/>
      <c r="B31" s="587" t="n"/>
      <c r="C31" s="595" t="n"/>
      <c r="D31" s="589" t="n"/>
      <c r="E31" s="596" t="n"/>
      <c r="F31" s="591">
        <f>E31*C31</f>
        <v/>
      </c>
      <c r="H31" s="592" t="n"/>
      <c r="I31" s="592" t="n"/>
      <c r="J31" s="593" t="n"/>
      <c r="K31" s="594" t="n"/>
    </row>
    <row r="32" ht="12.75" customHeight="1" s="410">
      <c r="A32" s="586" t="n"/>
      <c r="B32" s="587" t="n"/>
      <c r="C32" s="595" t="n"/>
      <c r="D32" s="589" t="n"/>
      <c r="E32" s="596" t="n"/>
      <c r="F32" s="591">
        <f>E32*C32</f>
        <v/>
      </c>
      <c r="H32" s="592" t="n"/>
      <c r="I32" s="592" t="n"/>
      <c r="J32" s="593" t="n"/>
      <c r="K32" s="594" t="n"/>
    </row>
    <row r="33" ht="12.75" customHeight="1" s="410">
      <c r="A33" s="586" t="n"/>
      <c r="B33" s="587" t="n"/>
      <c r="C33" s="595" t="n"/>
      <c r="D33" s="589" t="n"/>
      <c r="E33" s="596" t="n"/>
      <c r="F33" s="591">
        <f>E33*C33</f>
        <v/>
      </c>
      <c r="H33" s="592" t="n"/>
      <c r="I33" s="592" t="n"/>
      <c r="J33" s="593" t="n"/>
      <c r="K33" s="594" t="n"/>
    </row>
    <row r="34" ht="12.75" customHeight="1" s="410">
      <c r="A34" s="586" t="n"/>
      <c r="B34" s="587" t="n"/>
      <c r="C34" s="595" t="n"/>
      <c r="D34" s="589" t="n"/>
      <c r="E34" s="596" t="n"/>
      <c r="F34" s="591">
        <f>E34*C34</f>
        <v/>
      </c>
      <c r="H34" s="592" t="n"/>
      <c r="I34" s="592" t="n"/>
      <c r="J34" s="593" t="n"/>
      <c r="K34" s="594" t="n"/>
    </row>
    <row r="35" ht="12.75" customHeight="1" s="410">
      <c r="A35" s="586" t="n"/>
      <c r="B35" s="587" t="n"/>
      <c r="C35" s="595" t="n"/>
      <c r="D35" s="589" t="n"/>
      <c r="E35" s="596" t="n"/>
      <c r="F35" s="591">
        <f>E35*C35</f>
        <v/>
      </c>
      <c r="H35" s="592" t="n"/>
      <c r="I35" s="592" t="n"/>
      <c r="J35" s="593" t="n"/>
      <c r="K35" s="594" t="n"/>
    </row>
    <row r="36" ht="12.75" customHeight="1" s="410">
      <c r="A36" s="586" t="n"/>
      <c r="B36" s="587" t="n"/>
      <c r="C36" s="595" t="n"/>
      <c r="D36" s="589" t="n"/>
      <c r="E36" s="596" t="n"/>
      <c r="F36" s="591">
        <f>E36*C36</f>
        <v/>
      </c>
      <c r="H36" s="592" t="n"/>
      <c r="I36" s="592" t="n"/>
      <c r="J36" s="593" t="n"/>
      <c r="K36" s="594" t="n"/>
    </row>
    <row r="37" ht="12.75" customHeight="1" s="410">
      <c r="A37" s="586" t="n"/>
      <c r="B37" s="587" t="n"/>
      <c r="C37" s="595" t="n"/>
      <c r="D37" s="589" t="n"/>
      <c r="E37" s="596" t="n"/>
      <c r="F37" s="591">
        <f>E37*C37</f>
        <v/>
      </c>
      <c r="H37" s="592" t="n"/>
      <c r="I37" s="592" t="n"/>
      <c r="J37" s="593" t="n"/>
      <c r="K37" s="594" t="n"/>
    </row>
    <row r="38" ht="13.5" customHeight="1" s="410">
      <c r="A38" s="597" t="n"/>
      <c r="B38" s="598" t="n"/>
      <c r="C38" s="599" t="n"/>
      <c r="D38" s="600" t="n"/>
      <c r="E38" s="601" t="n"/>
      <c r="F38" s="602">
        <f>E38*C38</f>
        <v/>
      </c>
      <c r="H38" s="592" t="n"/>
      <c r="I38" s="592" t="n"/>
      <c r="J38" s="593" t="n"/>
      <c r="K38" s="594" t="n"/>
    </row>
    <row r="39" ht="13.5" customHeight="1" s="410">
      <c r="A39" s="603" t="inlineStr">
        <is>
          <t>TOTAL.......................</t>
        </is>
      </c>
      <c r="B39" s="423" t="n"/>
      <c r="C39" s="423" t="n"/>
      <c r="D39" s="423" t="n"/>
      <c r="E39" s="423" t="n"/>
      <c r="F39" s="604">
        <f>SUM(F9:F38)</f>
        <v/>
      </c>
      <c r="G39" s="605" t="n"/>
      <c r="H39" s="606">
        <f>SUM(H9:H38)</f>
        <v/>
      </c>
      <c r="I39" s="607">
        <f>SUM(I9:I38)</f>
        <v/>
      </c>
      <c r="J39" s="608">
        <f>SUM(K9:K38)</f>
        <v/>
      </c>
      <c r="K39" s="413" t="n"/>
    </row>
    <row r="40" ht="45" customHeight="1" s="410">
      <c r="A40" s="609" t="n"/>
      <c r="B40" s="610" t="n"/>
      <c r="C40" s="443" t="n"/>
      <c r="D40" s="611" t="n"/>
      <c r="E40" s="442" t="n"/>
      <c r="F40" s="612" t="inlineStr">
        <is>
          <t>TOTAL MATÉRIA-PRIMA</t>
        </is>
      </c>
      <c r="G40" s="413" t="n"/>
      <c r="H40" s="612" t="inlineStr">
        <is>
          <t>TOTAL OPER. EXTERNAS</t>
        </is>
      </c>
      <c r="I40" s="612" t="inlineStr">
        <is>
          <t>TOTAL SET-UP</t>
        </is>
      </c>
      <c r="J40" s="612" t="inlineStr">
        <is>
          <t>TOTAL PROCESSOS</t>
        </is>
      </c>
      <c r="K40" s="413" t="n"/>
    </row>
    <row r="41" ht="22.5" customHeight="1" s="410">
      <c r="A41" s="613" t="inlineStr">
        <is>
          <t>SOMATÓRIO DOS VALORES DA PEÇA..................................</t>
        </is>
      </c>
      <c r="B41" s="465" t="n"/>
      <c r="C41" s="431" t="n"/>
      <c r="D41" s="614" t="n"/>
      <c r="E41" s="465" t="n"/>
      <c r="F41" s="615">
        <f>F39</f>
        <v/>
      </c>
      <c r="G41" s="530" t="n"/>
      <c r="H41" s="616">
        <f>J52+H39</f>
        <v/>
      </c>
      <c r="I41" s="617">
        <f>I39+J75</f>
        <v/>
      </c>
      <c r="J41" s="618">
        <f>J39+K75</f>
        <v/>
      </c>
      <c r="K41" s="413" t="n"/>
    </row>
    <row r="42" ht="12.75" customHeight="1" s="410">
      <c r="A42" s="619" t="n"/>
      <c r="B42" s="412" t="n"/>
      <c r="C42" s="412" t="n"/>
      <c r="D42" s="412" t="n"/>
      <c r="E42" s="412" t="n"/>
      <c r="F42" s="412" t="n"/>
      <c r="G42" s="412" t="n"/>
      <c r="H42" s="412" t="n"/>
      <c r="I42" s="412" t="n"/>
      <c r="J42" s="413" t="n"/>
    </row>
    <row r="43" ht="18" customHeight="1" s="410">
      <c r="A43" s="459" t="inlineStr">
        <is>
          <t>SERVIÇOS TERCEIRIZADOS (OPERAÇÕES EXTERNAS) - TERCEIROS</t>
        </is>
      </c>
      <c r="B43" s="460" t="n"/>
      <c r="C43" s="460" t="n"/>
      <c r="D43" s="460" t="n"/>
      <c r="E43" s="460" t="n"/>
      <c r="F43" s="460" t="n"/>
      <c r="G43" s="460" t="n"/>
      <c r="H43" s="460" t="n"/>
      <c r="I43" s="460" t="n"/>
      <c r="J43" s="461" t="n"/>
    </row>
    <row r="44" ht="12.75" customHeight="1" s="410">
      <c r="A44" s="620" t="inlineStr">
        <is>
          <t>CÓDIGO</t>
        </is>
      </c>
      <c r="B44" s="462" t="inlineStr">
        <is>
          <t>DESCRIÇÃO</t>
        </is>
      </c>
      <c r="C44" s="462" t="inlineStr">
        <is>
          <t>QUANTIDADE</t>
        </is>
      </c>
      <c r="D44" s="462" t="inlineStr">
        <is>
          <t xml:space="preserve">UN </t>
        </is>
      </c>
      <c r="E44" s="430" t="inlineStr">
        <is>
          <t>FORNECEDOR SERVIÇO</t>
        </is>
      </c>
      <c r="F44" s="431" t="n"/>
      <c r="G44" s="430" t="inlineStr">
        <is>
          <t>OBSERVAÇÃO</t>
        </is>
      </c>
      <c r="H44" s="431" t="n"/>
      <c r="I44" s="430" t="inlineStr">
        <is>
          <t>PREÇO UNIT. (R$)</t>
        </is>
      </c>
      <c r="J44" s="621" t="inlineStr">
        <is>
          <t>TOTAL R$</t>
        </is>
      </c>
    </row>
    <row r="45" ht="12.75" customHeight="1" s="410">
      <c r="A45" s="622" t="n"/>
      <c r="B45" s="466" t="n"/>
      <c r="C45" s="466" t="n"/>
      <c r="D45" s="466" t="n"/>
      <c r="E45" s="434" t="n"/>
      <c r="F45" s="435" t="n"/>
      <c r="G45" s="434" t="n"/>
      <c r="H45" s="435" t="n"/>
      <c r="I45" s="437" t="n"/>
      <c r="J45" s="458" t="n"/>
    </row>
    <row r="46" ht="12.75" customHeight="1" s="410">
      <c r="A46" s="623" t="n"/>
      <c r="B46" s="624" t="n"/>
      <c r="C46" s="624" t="n"/>
      <c r="D46" s="624" t="n"/>
      <c r="E46" s="625" t="n"/>
      <c r="F46" s="443" t="n"/>
      <c r="G46" s="625" t="n"/>
      <c r="H46" s="443" t="n"/>
      <c r="I46" s="624" t="n"/>
      <c r="J46" s="626">
        <f>I46*C46</f>
        <v/>
      </c>
    </row>
    <row r="47" ht="12.75" customHeight="1" s="410">
      <c r="A47" s="623" t="n"/>
      <c r="B47" s="624" t="n"/>
      <c r="C47" s="624" t="n"/>
      <c r="D47" s="624" t="n"/>
      <c r="E47" s="625" t="n"/>
      <c r="F47" s="443" t="n"/>
      <c r="G47" s="625" t="n"/>
      <c r="H47" s="443" t="n"/>
      <c r="I47" s="624" t="n"/>
      <c r="J47" s="626">
        <f>I47*C47</f>
        <v/>
      </c>
    </row>
    <row r="48" ht="12.75" customHeight="1" s="410">
      <c r="A48" s="623" t="n"/>
      <c r="B48" s="624" t="n"/>
      <c r="C48" s="624" t="n"/>
      <c r="D48" s="624" t="n"/>
      <c r="E48" s="625" t="n"/>
      <c r="F48" s="443" t="n"/>
      <c r="G48" s="625" t="n"/>
      <c r="H48" s="443" t="n"/>
      <c r="I48" s="624" t="n"/>
      <c r="J48" s="626">
        <f>I48*C48</f>
        <v/>
      </c>
    </row>
    <row r="49" ht="12.75" customHeight="1" s="410">
      <c r="A49" s="623" t="n"/>
      <c r="B49" s="624" t="n"/>
      <c r="C49" s="624" t="n"/>
      <c r="D49" s="624" t="n"/>
      <c r="E49" s="625" t="n"/>
      <c r="F49" s="443" t="n"/>
      <c r="G49" s="625" t="n"/>
      <c r="H49" s="443" t="n"/>
      <c r="I49" s="624" t="n"/>
      <c r="J49" s="626">
        <f>I49*C49</f>
        <v/>
      </c>
    </row>
    <row r="50" ht="12.75" customHeight="1" s="410">
      <c r="A50" s="623" t="n"/>
      <c r="B50" s="624" t="n"/>
      <c r="C50" s="624" t="n"/>
      <c r="D50" s="624" t="n"/>
      <c r="E50" s="625" t="n"/>
      <c r="F50" s="443" t="n"/>
      <c r="G50" s="625" t="n"/>
      <c r="H50" s="443" t="n"/>
      <c r="I50" s="624" t="n"/>
      <c r="J50" s="626">
        <f>I50*C50</f>
        <v/>
      </c>
    </row>
    <row r="51" ht="12.75" customHeight="1" s="410">
      <c r="A51" s="623" t="n"/>
      <c r="B51" s="624" t="n"/>
      <c r="C51" s="624" t="n"/>
      <c r="D51" s="624" t="n"/>
      <c r="E51" s="625" t="n"/>
      <c r="F51" s="443" t="n"/>
      <c r="G51" s="625" t="n"/>
      <c r="H51" s="443" t="n"/>
      <c r="I51" s="624" t="n"/>
      <c r="J51" s="626">
        <f>I51*C51</f>
        <v/>
      </c>
    </row>
    <row r="52" ht="12.75" customHeight="1" s="410">
      <c r="A52" s="453" t="inlineStr">
        <is>
          <t>SOMATÓRIO DOS VALORES REFERENTES A OPERAÇÃO EXTERNA (TERCEIROS) ..............................................</t>
        </is>
      </c>
      <c r="B52" s="454" t="n"/>
      <c r="C52" s="454" t="n"/>
      <c r="D52" s="454" t="n"/>
      <c r="E52" s="454" t="n"/>
      <c r="F52" s="454" t="n"/>
      <c r="G52" s="454" t="n"/>
      <c r="H52" s="454" t="n"/>
      <c r="I52" s="455" t="n"/>
      <c r="J52" s="627">
        <f>SUM(J46:J51)</f>
        <v/>
      </c>
    </row>
    <row r="53" ht="12.75" customHeight="1" s="410">
      <c r="A53" s="619" t="n"/>
      <c r="B53" s="412" t="n"/>
      <c r="C53" s="412" t="n"/>
      <c r="D53" s="412" t="n"/>
      <c r="E53" s="412" t="n"/>
      <c r="F53" s="412" t="n"/>
      <c r="G53" s="412" t="n"/>
      <c r="H53" s="412" t="n"/>
      <c r="I53" s="412" t="n"/>
      <c r="J53" s="413" t="n"/>
    </row>
    <row r="54" ht="18" customHeight="1" s="410">
      <c r="A54" s="494" t="inlineStr">
        <is>
          <t>MONTAGEM INTERNA (ROTEIRO ESTIMADO DE FABRICAÇÃO)</t>
        </is>
      </c>
      <c r="B54" s="412" t="n"/>
      <c r="C54" s="412" t="n"/>
      <c r="D54" s="412" t="n"/>
      <c r="E54" s="412" t="n"/>
      <c r="F54" s="412" t="n"/>
      <c r="G54" s="412" t="n"/>
      <c r="H54" s="412" t="n"/>
      <c r="I54" s="412" t="n"/>
      <c r="J54" s="413" t="n"/>
    </row>
    <row r="55" ht="24" customHeight="1" s="410">
      <c r="A55" s="628" t="inlineStr">
        <is>
          <t>Nº OPERAÇÃO</t>
        </is>
      </c>
      <c r="B55" s="629" t="inlineStr">
        <is>
          <t>DESCRIÇÃO DA OPERAÇÃO</t>
        </is>
      </c>
      <c r="C55" s="630" t="inlineStr">
        <is>
          <t>CENTRO DE CUSTO</t>
        </is>
      </c>
      <c r="D55" s="631" t="inlineStr">
        <is>
          <t>GRUPO MÁQUINA</t>
        </is>
      </c>
      <c r="E55" s="630" t="inlineStr">
        <is>
          <t>DESCRIÇÃO DO GRUPO MÁQUINA</t>
        </is>
      </c>
      <c r="F55" s="497" t="n"/>
      <c r="G55" s="631" t="inlineStr">
        <is>
          <t>SET-UP - (MINUTOS)</t>
        </is>
      </c>
      <c r="H55" s="630" t="inlineStr">
        <is>
          <t>TEMPO OPERAÇÃO- (MINUTOS)</t>
        </is>
      </c>
      <c r="I55" s="630" t="inlineStr">
        <is>
          <t>Nº DE HOMENS</t>
        </is>
      </c>
      <c r="J55" s="632" t="inlineStr">
        <is>
          <t>R$ (SET-UP)</t>
        </is>
      </c>
      <c r="K55" s="632" t="inlineStr">
        <is>
          <t>R$ (OPERAÇÃO)</t>
        </is>
      </c>
    </row>
    <row r="56" ht="13.5" customHeight="1" s="410">
      <c r="A56" s="633" t="n"/>
      <c r="B56" s="634" t="n"/>
      <c r="C56" s="635" t="n"/>
      <c r="D56" s="455" t="n"/>
      <c r="E56" s="634" t="n"/>
      <c r="F56" s="455" t="n"/>
      <c r="G56" s="455" t="n"/>
      <c r="H56" s="635" t="n"/>
      <c r="I56" s="635" t="n"/>
      <c r="J56" s="636" t="n"/>
      <c r="K56" s="636" t="n"/>
      <c r="M56" s="409" t="n">
        <v>1</v>
      </c>
    </row>
    <row r="57" ht="12.75" customFormat="1" customHeight="1" s="637">
      <c r="A57" s="638" t="n">
        <v>10</v>
      </c>
      <c r="B57" s="639" t="n"/>
      <c r="C57" s="640" t="n"/>
      <c r="D57" s="641" t="n"/>
      <c r="E57" s="642" t="n"/>
      <c r="F57" s="435" t="n"/>
      <c r="G57" s="643" t="n"/>
      <c r="H57" s="643" t="n"/>
      <c r="I57" s="644" t="n"/>
      <c r="J57" s="645" t="n"/>
      <c r="K57" s="645" t="n"/>
      <c r="M57" s="646" t="n">
        <v>2</v>
      </c>
    </row>
    <row r="58" ht="12.75" customFormat="1" customHeight="1" s="637">
      <c r="A58" s="623" t="n">
        <v>20</v>
      </c>
      <c r="B58" s="647" t="n"/>
      <c r="C58" s="640" t="n"/>
      <c r="D58" s="641" t="n"/>
      <c r="E58" s="642" t="n"/>
      <c r="F58" s="435" t="n"/>
      <c r="G58" s="648" t="n"/>
      <c r="H58" s="648" t="n"/>
      <c r="I58" s="644" t="n"/>
      <c r="J58" s="645" t="n"/>
      <c r="K58" s="645" t="n"/>
      <c r="M58" s="646" t="n">
        <v>3</v>
      </c>
    </row>
    <row r="59" ht="12.75" customFormat="1" customHeight="1" s="637">
      <c r="A59" s="623" t="n">
        <v>30</v>
      </c>
      <c r="B59" s="647" t="n"/>
      <c r="C59" s="640" t="n"/>
      <c r="D59" s="641" t="n"/>
      <c r="E59" s="642" t="n"/>
      <c r="F59" s="435" t="n"/>
      <c r="G59" s="648" t="n"/>
      <c r="H59" s="648" t="n"/>
      <c r="I59" s="644" t="n"/>
      <c r="J59" s="645" t="n"/>
      <c r="K59" s="645" t="n"/>
      <c r="M59" s="409" t="n">
        <v>4</v>
      </c>
    </row>
    <row r="60" ht="12.75" customFormat="1" customHeight="1" s="637">
      <c r="A60" s="623" t="n">
        <v>40</v>
      </c>
      <c r="B60" s="647" t="n"/>
      <c r="C60" s="640" t="n"/>
      <c r="D60" s="641" t="n"/>
      <c r="E60" s="642" t="n"/>
      <c r="F60" s="435" t="n"/>
      <c r="G60" s="648" t="n"/>
      <c r="H60" s="648" t="n"/>
      <c r="I60" s="644" t="n"/>
      <c r="J60" s="645" t="n"/>
      <c r="K60" s="645" t="n"/>
      <c r="M60" s="646" t="n">
        <v>5</v>
      </c>
    </row>
    <row r="61" ht="12.75" customFormat="1" customHeight="1" s="637">
      <c r="A61" s="623" t="n">
        <v>50</v>
      </c>
      <c r="B61" s="647" t="n"/>
      <c r="C61" s="640" t="n"/>
      <c r="D61" s="641" t="n"/>
      <c r="E61" s="642" t="n"/>
      <c r="F61" s="435" t="n"/>
      <c r="G61" s="648" t="n"/>
      <c r="H61" s="648" t="n"/>
      <c r="I61" s="644" t="n"/>
      <c r="J61" s="645" t="n"/>
      <c r="K61" s="645" t="n"/>
      <c r="M61" s="646" t="n">
        <v>6</v>
      </c>
    </row>
    <row r="62" ht="12.75" customFormat="1" customHeight="1" s="637">
      <c r="A62" s="623" t="n">
        <v>60</v>
      </c>
      <c r="B62" s="647" t="n"/>
      <c r="C62" s="640" t="n"/>
      <c r="D62" s="641" t="n"/>
      <c r="E62" s="642" t="n"/>
      <c r="F62" s="435" t="n"/>
      <c r="G62" s="648" t="n"/>
      <c r="H62" s="648" t="n"/>
      <c r="I62" s="644" t="n"/>
      <c r="J62" s="645" t="n"/>
      <c r="K62" s="645" t="n"/>
      <c r="M62" s="409" t="n">
        <v>7</v>
      </c>
    </row>
    <row r="63" ht="12.75" customFormat="1" customHeight="1" s="637">
      <c r="A63" s="623" t="n">
        <v>70</v>
      </c>
      <c r="B63" s="647" t="n"/>
      <c r="C63" s="640" t="n"/>
      <c r="D63" s="641" t="n"/>
      <c r="E63" s="642" t="n"/>
      <c r="F63" s="435" t="n"/>
      <c r="G63" s="648" t="n"/>
      <c r="H63" s="648" t="n"/>
      <c r="I63" s="644" t="n"/>
      <c r="J63" s="645" t="n"/>
      <c r="K63" s="645" t="n"/>
      <c r="M63" s="646" t="n">
        <v>8</v>
      </c>
    </row>
    <row r="64" ht="12.75" customFormat="1" customHeight="1" s="637">
      <c r="A64" s="623" t="n">
        <v>80</v>
      </c>
      <c r="B64" s="647" t="n"/>
      <c r="C64" s="640" t="n"/>
      <c r="D64" s="641" t="n"/>
      <c r="E64" s="642" t="n"/>
      <c r="F64" s="435" t="n"/>
      <c r="G64" s="648" t="n"/>
      <c r="H64" s="648" t="n"/>
      <c r="I64" s="644" t="n"/>
      <c r="J64" s="645" t="n"/>
      <c r="K64" s="645" t="n"/>
      <c r="M64" s="646" t="n"/>
    </row>
    <row r="65" ht="12.75" customFormat="1" customHeight="1" s="637">
      <c r="A65" s="623" t="n">
        <v>90</v>
      </c>
      <c r="B65" s="647" t="n"/>
      <c r="C65" s="640" t="n"/>
      <c r="D65" s="641" t="n"/>
      <c r="E65" s="642" t="n"/>
      <c r="F65" s="435" t="n"/>
      <c r="G65" s="648" t="n"/>
      <c r="H65" s="648" t="n"/>
      <c r="I65" s="644" t="n"/>
      <c r="J65" s="645" t="n"/>
      <c r="K65" s="645" t="n"/>
      <c r="M65" s="646" t="n"/>
    </row>
    <row r="66" ht="12.75" customFormat="1" customHeight="1" s="637">
      <c r="A66" s="623" t="n">
        <v>100</v>
      </c>
      <c r="B66" s="647" t="n"/>
      <c r="C66" s="640" t="n"/>
      <c r="D66" s="641" t="n"/>
      <c r="E66" s="642" t="n"/>
      <c r="F66" s="435" t="n"/>
      <c r="G66" s="648" t="n"/>
      <c r="H66" s="648" t="n"/>
      <c r="I66" s="644" t="n"/>
      <c r="J66" s="645" t="n"/>
      <c r="K66" s="645" t="n"/>
      <c r="M66" s="646" t="n"/>
    </row>
    <row r="67" ht="12.75" customFormat="1" customHeight="1" s="637">
      <c r="A67" s="623" t="n">
        <v>110</v>
      </c>
      <c r="B67" s="647" t="n"/>
      <c r="C67" s="640" t="n"/>
      <c r="D67" s="641" t="n"/>
      <c r="E67" s="642" t="n"/>
      <c r="F67" s="435" t="n"/>
      <c r="G67" s="648" t="n"/>
      <c r="H67" s="648" t="n"/>
      <c r="I67" s="644" t="n"/>
      <c r="J67" s="645" t="n"/>
      <c r="K67" s="645" t="n"/>
      <c r="M67" s="646" t="n"/>
    </row>
    <row r="68" ht="12.75" customFormat="1" customHeight="1" s="637">
      <c r="A68" s="623" t="n">
        <v>120</v>
      </c>
      <c r="B68" s="647" t="n"/>
      <c r="C68" s="640" t="n"/>
      <c r="D68" s="641" t="n"/>
      <c r="E68" s="642" t="n"/>
      <c r="F68" s="435" t="n"/>
      <c r="G68" s="648" t="n"/>
      <c r="H68" s="648" t="n"/>
      <c r="I68" s="644" t="n"/>
      <c r="J68" s="645" t="n"/>
      <c r="K68" s="645" t="n"/>
      <c r="M68" s="646" t="n"/>
    </row>
    <row r="69" ht="12.75" customFormat="1" customHeight="1" s="637">
      <c r="A69" s="623" t="n">
        <v>130</v>
      </c>
      <c r="B69" s="647" t="n"/>
      <c r="C69" s="640" t="n"/>
      <c r="D69" s="641" t="n"/>
      <c r="E69" s="642" t="n"/>
      <c r="F69" s="435" t="n"/>
      <c r="G69" s="648" t="n"/>
      <c r="H69" s="648" t="n"/>
      <c r="I69" s="644" t="n"/>
      <c r="J69" s="645" t="n"/>
      <c r="K69" s="645" t="n"/>
      <c r="M69" s="646" t="n"/>
    </row>
    <row r="70" ht="12.75" customFormat="1" customHeight="1" s="637">
      <c r="A70" s="623" t="n">
        <v>140</v>
      </c>
      <c r="B70" s="647" t="n"/>
      <c r="C70" s="640" t="n"/>
      <c r="D70" s="641" t="n"/>
      <c r="E70" s="642" t="n"/>
      <c r="F70" s="435" t="n"/>
      <c r="G70" s="648" t="n"/>
      <c r="H70" s="648" t="n"/>
      <c r="I70" s="644" t="n"/>
      <c r="J70" s="645" t="n"/>
      <c r="K70" s="645" t="n"/>
      <c r="M70" s="646" t="n"/>
    </row>
    <row r="71" ht="12.75" customFormat="1" customHeight="1" s="637">
      <c r="A71" s="623" t="n">
        <v>150</v>
      </c>
      <c r="B71" s="647" t="n"/>
      <c r="C71" s="640" t="n"/>
      <c r="D71" s="641" t="n"/>
      <c r="E71" s="642" t="n"/>
      <c r="F71" s="435" t="n"/>
      <c r="G71" s="648" t="n"/>
      <c r="H71" s="648" t="n"/>
      <c r="I71" s="644" t="n"/>
      <c r="J71" s="645" t="n"/>
      <c r="K71" s="645" t="n"/>
      <c r="M71" s="646" t="n"/>
    </row>
    <row r="72" ht="12.75" customFormat="1" customHeight="1" s="637">
      <c r="A72" s="623" t="n">
        <v>160</v>
      </c>
      <c r="B72" s="647" t="n"/>
      <c r="C72" s="640" t="n"/>
      <c r="D72" s="641" t="n"/>
      <c r="E72" s="642" t="n"/>
      <c r="F72" s="435" t="n"/>
      <c r="G72" s="648" t="n"/>
      <c r="H72" s="648" t="n"/>
      <c r="I72" s="644" t="n"/>
      <c r="J72" s="645" t="n"/>
      <c r="K72" s="645" t="n"/>
      <c r="M72" s="646" t="n"/>
    </row>
    <row r="73" ht="12.75" customFormat="1" customHeight="1" s="637">
      <c r="A73" s="623" t="n">
        <v>170</v>
      </c>
      <c r="B73" s="647" t="n"/>
      <c r="C73" s="640" t="n"/>
      <c r="D73" s="641" t="n"/>
      <c r="E73" s="642" t="n"/>
      <c r="F73" s="435" t="n"/>
      <c r="G73" s="648" t="n"/>
      <c r="H73" s="648" t="n"/>
      <c r="I73" s="644" t="n"/>
      <c r="J73" s="645" t="n"/>
      <c r="K73" s="645" t="n"/>
      <c r="M73" s="646" t="n"/>
    </row>
    <row r="74" ht="12.75" customFormat="1" customHeight="1" s="637">
      <c r="A74" s="623" t="n">
        <v>180</v>
      </c>
      <c r="B74" s="647" t="n"/>
      <c r="C74" s="640" t="n"/>
      <c r="D74" s="641" t="n"/>
      <c r="E74" s="642" t="n"/>
      <c r="F74" s="435" t="n"/>
      <c r="G74" s="648" t="n"/>
      <c r="H74" s="648" t="n"/>
      <c r="I74" s="644" t="n"/>
      <c r="J74" s="645" t="n"/>
      <c r="K74" s="645" t="n"/>
      <c r="M74" s="646" t="n"/>
    </row>
    <row r="75" ht="17.25" customHeight="1" s="410">
      <c r="A75" s="483" t="inlineStr">
        <is>
          <t>SOMATÓRIO DOS VALORES REFERENTES AO PROCESSO DE FABRICAÇÃO ..............................................</t>
        </is>
      </c>
      <c r="B75" s="484" t="n"/>
      <c r="C75" s="484" t="n"/>
      <c r="D75" s="484" t="n"/>
      <c r="E75" s="484" t="n"/>
      <c r="F75" s="484" t="n"/>
      <c r="G75" s="484" t="n"/>
      <c r="H75" s="484" t="n"/>
      <c r="I75" s="485" t="n"/>
      <c r="J75" s="649">
        <f>SUM(J57:J74)</f>
        <v/>
      </c>
      <c r="K75" s="649">
        <f>SUM(K57:K74)</f>
        <v/>
      </c>
    </row>
    <row r="76" ht="12.75" customHeight="1" s="410">
      <c r="A76" s="650" t="n"/>
      <c r="B76" s="417" t="n"/>
      <c r="C76" s="417" t="n"/>
      <c r="D76" s="417" t="n"/>
      <c r="E76" s="417" t="n"/>
      <c r="F76" s="417" t="n"/>
      <c r="G76" s="417" t="n"/>
      <c r="H76" s="417" t="n"/>
      <c r="I76" s="417" t="n"/>
      <c r="J76" s="530" t="n"/>
    </row>
    <row r="77" ht="18" customHeight="1" s="410">
      <c r="A77" s="459" t="inlineStr">
        <is>
          <t>FERRAMENTAL / GABARITO / RACK</t>
        </is>
      </c>
      <c r="B77" s="460" t="n"/>
      <c r="C77" s="460" t="n"/>
      <c r="D77" s="460" t="n"/>
      <c r="E77" s="460" t="n"/>
      <c r="F77" s="460" t="n"/>
      <c r="G77" s="460" t="n"/>
      <c r="H77" s="460" t="n"/>
      <c r="I77" s="460" t="n"/>
      <c r="J77" s="461" t="n"/>
    </row>
    <row r="78" ht="12.75" customHeight="1" s="410">
      <c r="A78" s="651" t="inlineStr">
        <is>
          <t>QUANT.</t>
        </is>
      </c>
      <c r="B78" s="652" t="inlineStr">
        <is>
          <t>DESCRIÇÃO DO FERRAMENTAL</t>
        </is>
      </c>
      <c r="C78" s="431" t="n"/>
      <c r="D78" s="652" t="inlineStr">
        <is>
          <t>VALORES</t>
        </is>
      </c>
      <c r="E78" s="610" t="inlineStr">
        <is>
          <t>CONFECÇÃO</t>
        </is>
      </c>
      <c r="F78" s="443" t="n"/>
      <c r="G78" s="652" t="inlineStr">
        <is>
          <t>ORÇADO COM:</t>
        </is>
      </c>
      <c r="H78" s="431" t="n"/>
      <c r="I78" s="652" t="inlineStr">
        <is>
          <t>OBSERVAÇÕES</t>
        </is>
      </c>
      <c r="J78" s="653" t="inlineStr">
        <is>
          <t>PRAZO P/ LIBERAÇÃO</t>
        </is>
      </c>
    </row>
    <row r="79" ht="12.75" customHeight="1" s="410">
      <c r="A79" s="633" t="n"/>
      <c r="B79" s="634" t="n"/>
      <c r="C79" s="455" t="n"/>
      <c r="D79" s="635" t="n"/>
      <c r="E79" s="654" t="inlineStr">
        <is>
          <t>INT</t>
        </is>
      </c>
      <c r="F79" s="654" t="inlineStr">
        <is>
          <t>EXT</t>
        </is>
      </c>
      <c r="G79" s="634" t="n"/>
      <c r="H79" s="455" t="n"/>
      <c r="I79" s="635" t="n"/>
      <c r="J79" s="636" t="n"/>
    </row>
    <row r="80" ht="12.75" customHeight="1" s="410">
      <c r="A80" s="655" t="n"/>
      <c r="B80" s="642" t="n"/>
      <c r="C80" s="435" t="n"/>
      <c r="D80" s="656" t="n"/>
      <c r="E80" s="657" t="n"/>
      <c r="F80" s="497" t="n"/>
      <c r="G80" s="644" t="n"/>
      <c r="H80" s="435" t="n"/>
      <c r="I80" s="658" t="n"/>
      <c r="J80" s="659" t="n"/>
      <c r="M80" s="409" t="inlineStr">
        <is>
          <t>TOSO</t>
        </is>
      </c>
    </row>
    <row r="81" ht="12.75" customHeight="1" s="410">
      <c r="A81" s="515" t="n"/>
      <c r="B81" s="640" t="n"/>
      <c r="C81" s="443" t="n"/>
      <c r="D81" s="660" t="n"/>
      <c r="E81" s="516" t="n"/>
      <c r="F81" s="443" t="n"/>
      <c r="G81" s="644" t="n"/>
      <c r="H81" s="435" t="n"/>
      <c r="I81" s="661" t="n"/>
      <c r="J81" s="519" t="n"/>
      <c r="M81" s="409" t="inlineStr">
        <is>
          <t>MARCIANO</t>
        </is>
      </c>
    </row>
    <row r="82" ht="12.75" customHeight="1" s="410">
      <c r="A82" s="515" t="n"/>
      <c r="B82" s="640" t="n"/>
      <c r="C82" s="443" t="n"/>
      <c r="D82" s="662" t="n"/>
      <c r="E82" s="516" t="n"/>
      <c r="F82" s="443" t="n"/>
      <c r="G82" s="644" t="n"/>
      <c r="H82" s="435" t="n"/>
      <c r="I82" s="661" t="n"/>
      <c r="J82" s="519" t="n"/>
      <c r="M82" s="409" t="inlineStr">
        <is>
          <t>EDERSON</t>
        </is>
      </c>
    </row>
    <row r="83" ht="12.75" customHeight="1" s="410">
      <c r="A83" s="515" t="n"/>
      <c r="B83" s="640" t="n"/>
      <c r="C83" s="443" t="n"/>
      <c r="D83" s="662" t="n"/>
      <c r="E83" s="516" t="n"/>
      <c r="F83" s="443" t="n"/>
      <c r="G83" s="644" t="n"/>
      <c r="H83" s="435" t="n"/>
      <c r="I83" s="661" t="n"/>
      <c r="J83" s="519" t="n"/>
      <c r="M83" s="409" t="inlineStr">
        <is>
          <t>WANESSA</t>
        </is>
      </c>
    </row>
    <row r="84" ht="12.75" customHeight="1" s="410">
      <c r="A84" s="515" t="n"/>
      <c r="B84" s="663" t="n"/>
      <c r="C84" s="443" t="n"/>
      <c r="D84" s="662" t="n"/>
      <c r="E84" s="516" t="n"/>
      <c r="F84" s="443" t="n"/>
      <c r="G84" s="644" t="n"/>
      <c r="H84" s="435" t="n"/>
      <c r="I84" s="661" t="n"/>
      <c r="J84" s="519" t="n"/>
    </row>
    <row r="85" ht="12.75" customHeight="1" s="410">
      <c r="A85" s="515" t="n"/>
      <c r="B85" s="663" t="n"/>
      <c r="C85" s="443" t="n"/>
      <c r="D85" s="662" t="n"/>
      <c r="E85" s="516" t="n"/>
      <c r="F85" s="443" t="n"/>
      <c r="G85" s="644" t="n"/>
      <c r="H85" s="435" t="n"/>
      <c r="I85" s="661" t="n"/>
      <c r="J85" s="519" t="n"/>
    </row>
    <row r="86" ht="13.5" customHeight="1" s="410">
      <c r="A86" s="515" t="n"/>
      <c r="B86" s="663" t="n"/>
      <c r="C86" s="443" t="n"/>
      <c r="D86" s="662" t="n"/>
      <c r="E86" s="516" t="n"/>
      <c r="F86" s="443" t="n"/>
      <c r="G86" s="644" t="n"/>
      <c r="H86" s="435" t="n"/>
      <c r="I86" s="661" t="n"/>
      <c r="J86" s="519" t="n"/>
    </row>
    <row r="87" ht="15.75" customHeight="1" s="410">
      <c r="A87" s="515" t="n"/>
      <c r="B87" s="663" t="n"/>
      <c r="C87" s="443" t="n"/>
      <c r="D87" s="662" t="n"/>
      <c r="E87" s="516" t="n"/>
      <c r="F87" s="443" t="n"/>
      <c r="G87" s="644" t="n"/>
      <c r="H87" s="435" t="n"/>
      <c r="I87" s="664" t="inlineStr">
        <is>
          <t>TOTAL FERRAMENTAL</t>
        </is>
      </c>
      <c r="J87" s="530" t="n"/>
    </row>
    <row r="88" ht="18" customHeight="1" s="410">
      <c r="A88" s="665" t="inlineStr">
        <is>
          <t>SOMATÓRIO DOS VALORES REFERENTES A FERRAMENTAL................................................................</t>
        </is>
      </c>
      <c r="B88" s="442" t="n"/>
      <c r="C88" s="442" t="n"/>
      <c r="D88" s="442" t="n"/>
      <c r="E88" s="442" t="n"/>
      <c r="F88" s="442" t="n"/>
      <c r="G88" s="442" t="n"/>
      <c r="H88" s="442" t="n"/>
      <c r="I88" s="615">
        <f>SUM(D80:D87)</f>
        <v/>
      </c>
      <c r="J88" s="530" t="n"/>
    </row>
    <row r="89" ht="13.5" customHeight="1" s="410">
      <c r="A89" s="666" t="n"/>
      <c r="B89" s="484" t="n"/>
      <c r="C89" s="484" t="n"/>
      <c r="D89" s="484" t="n"/>
      <c r="E89" s="484" t="n"/>
      <c r="F89" s="484" t="n"/>
      <c r="G89" s="484" t="n"/>
      <c r="H89" s="484" t="n"/>
      <c r="I89" s="484" t="n"/>
      <c r="J89" s="493" t="n"/>
    </row>
    <row r="90" hidden="1" ht="18" customHeight="1" s="410">
      <c r="A90" s="667" t="inlineStr">
        <is>
          <t>ENGENHARIA DA QUALIDADE</t>
        </is>
      </c>
      <c r="B90" s="435" t="n"/>
      <c r="C90" s="668" t="inlineStr">
        <is>
          <t>TIPO DE ACABAMENTO SUPERFICIAL</t>
        </is>
      </c>
      <c r="D90" s="423" t="n"/>
      <c r="E90" s="423" t="n"/>
      <c r="F90" s="423" t="n"/>
      <c r="G90" s="423" t="n"/>
      <c r="H90" s="423" t="n"/>
      <c r="I90" s="423" t="n"/>
      <c r="J90" s="435" t="n"/>
    </row>
    <row r="91" hidden="1" ht="12.75" customHeight="1" s="410">
      <c r="A91" s="510" t="inlineStr">
        <is>
          <t>Nº OPER.</t>
        </is>
      </c>
      <c r="B91" s="510" t="inlineStr">
        <is>
          <t>DESCRIÇÃO DO ACABAMENTO</t>
        </is>
      </c>
      <c r="C91" s="510" t="inlineStr">
        <is>
          <t>COMPONENTE</t>
        </is>
      </c>
      <c r="D91" s="512" t="inlineStr">
        <is>
          <t>OPERAÇÃO</t>
        </is>
      </c>
      <c r="E91" s="443" t="n"/>
      <c r="F91" s="510" t="inlineStr">
        <is>
          <t>OUTROS</t>
        </is>
      </c>
      <c r="G91" s="510" t="n"/>
      <c r="H91" s="510" t="inlineStr">
        <is>
          <t>Nº HOMENS</t>
        </is>
      </c>
      <c r="I91" s="510" t="n"/>
      <c r="J91" s="510" t="inlineStr">
        <is>
          <t>TEMPO (Pc/H)</t>
        </is>
      </c>
    </row>
    <row r="92" hidden="1" ht="12.75" customHeight="1" s="410">
      <c r="A92" s="437" t="n"/>
      <c r="B92" s="437" t="n"/>
      <c r="C92" s="437" t="n"/>
      <c r="D92" s="512" t="inlineStr">
        <is>
          <t>INT</t>
        </is>
      </c>
      <c r="E92" s="512" t="inlineStr">
        <is>
          <t>EXT</t>
        </is>
      </c>
      <c r="F92" s="437" t="n"/>
      <c r="G92" s="510" t="n"/>
      <c r="H92" s="437" t="n"/>
      <c r="I92" s="510" t="n"/>
      <c r="J92" s="437" t="n"/>
    </row>
    <row r="93" hidden="1" ht="12.75" customHeight="1" s="410">
      <c r="A93" s="544" t="n"/>
      <c r="B93" s="669" t="n"/>
      <c r="C93" s="669" t="n"/>
      <c r="D93" s="544" t="n"/>
      <c r="E93" s="544" t="n"/>
      <c r="F93" s="544" t="n"/>
      <c r="G93" s="544" t="n"/>
      <c r="H93" s="544" t="n"/>
      <c r="I93" s="544" t="n"/>
      <c r="J93" s="544" t="n"/>
    </row>
    <row r="94" hidden="1" ht="12.75" customHeight="1" s="410">
      <c r="A94" s="544" t="n"/>
      <c r="B94" s="669" t="n"/>
      <c r="C94" s="669" t="n"/>
      <c r="D94" s="544" t="n"/>
      <c r="E94" s="544" t="n"/>
      <c r="F94" s="544" t="n"/>
      <c r="G94" s="544" t="n"/>
      <c r="H94" s="544" t="n"/>
      <c r="I94" s="544" t="n"/>
      <c r="J94" s="544" t="n"/>
    </row>
    <row r="95" hidden="1" ht="12.75" customHeight="1" s="410">
      <c r="A95" s="544" t="n"/>
      <c r="B95" s="669" t="n"/>
      <c r="C95" s="669" t="n"/>
      <c r="D95" s="544" t="n"/>
      <c r="E95" s="544" t="n"/>
      <c r="F95" s="544" t="n"/>
      <c r="G95" s="544" t="n"/>
      <c r="H95" s="544" t="n"/>
      <c r="I95" s="544" t="n"/>
      <c r="J95" s="544" t="n"/>
    </row>
    <row r="96" hidden="1" ht="12.75" customHeight="1" s="410">
      <c r="A96" s="512" t="n"/>
      <c r="B96" s="442" t="n"/>
      <c r="C96" s="442" t="n"/>
      <c r="D96" s="442" t="n"/>
      <c r="E96" s="442" t="n"/>
      <c r="F96" s="442" t="n"/>
      <c r="G96" s="442" t="n"/>
      <c r="H96" s="442" t="n"/>
      <c r="I96" s="442" t="n"/>
      <c r="J96" s="443" t="n"/>
    </row>
    <row r="97" hidden="1" ht="18" customHeight="1" s="410">
      <c r="A97" s="667" t="inlineStr">
        <is>
          <t>ENGENHARIA DA QUALIDADE</t>
        </is>
      </c>
      <c r="B97" s="435" t="n"/>
      <c r="C97" s="668" t="inlineStr">
        <is>
          <t>MÉTODOS DE CONTROLE</t>
        </is>
      </c>
      <c r="D97" s="423" t="n"/>
      <c r="E97" s="423" t="n"/>
      <c r="F97" s="423" t="n"/>
      <c r="G97" s="423" t="n"/>
      <c r="H97" s="423" t="n"/>
      <c r="I97" s="423" t="n"/>
      <c r="J97" s="435" t="n"/>
    </row>
    <row r="98" hidden="1" ht="12.75" customHeight="1" s="410">
      <c r="A98" s="510" t="inlineStr">
        <is>
          <t>ENSAIOS NECESSÁRIOS</t>
        </is>
      </c>
      <c r="B98" s="431" t="n"/>
      <c r="C98" s="510" t="inlineStr">
        <is>
          <t>SETOR</t>
        </is>
      </c>
      <c r="D98" s="512" t="inlineStr">
        <is>
          <t>SISTEMA</t>
        </is>
      </c>
      <c r="E98" s="443" t="n"/>
      <c r="F98" s="510" t="inlineStr">
        <is>
          <t>DESCRIÇÃO</t>
        </is>
      </c>
      <c r="G98" s="465" t="n"/>
      <c r="H98" s="431" t="n"/>
      <c r="I98" s="670" t="n"/>
      <c r="J98" s="510" t="inlineStr">
        <is>
          <t>VALOR R$</t>
        </is>
      </c>
    </row>
    <row r="99" hidden="1" ht="12.75" customHeight="1" s="410">
      <c r="A99" s="434" t="n"/>
      <c r="B99" s="435" t="n"/>
      <c r="C99" s="437" t="n"/>
      <c r="D99" s="512" t="inlineStr">
        <is>
          <t>QS</t>
        </is>
      </c>
      <c r="E99" s="512" t="inlineStr">
        <is>
          <t xml:space="preserve">ISO </t>
        </is>
      </c>
      <c r="F99" s="434" t="n"/>
      <c r="G99" s="423" t="n"/>
      <c r="H99" s="435" t="n"/>
      <c r="I99" s="671" t="n"/>
      <c r="J99" s="437" t="n"/>
    </row>
    <row r="100" hidden="1" ht="12.75" customHeight="1" s="410">
      <c r="A100" s="610" t="n"/>
      <c r="B100" s="443" t="n"/>
      <c r="C100" s="544" t="n"/>
      <c r="D100" s="544" t="n"/>
      <c r="E100" s="544" t="n"/>
      <c r="F100" s="512" t="n"/>
      <c r="G100" s="442" t="n"/>
      <c r="H100" s="443" t="n"/>
      <c r="I100" s="672" t="n"/>
      <c r="J100" s="568" t="n"/>
    </row>
    <row r="101" hidden="1" ht="12.75" customHeight="1" s="410">
      <c r="A101" s="610" t="n"/>
      <c r="B101" s="443" t="n"/>
      <c r="C101" s="544" t="n"/>
      <c r="D101" s="544" t="n"/>
      <c r="E101" s="544" t="n"/>
      <c r="F101" s="512" t="n"/>
      <c r="G101" s="442" t="n"/>
      <c r="H101" s="443" t="n"/>
      <c r="I101" s="672" t="n"/>
      <c r="J101" s="568" t="n"/>
    </row>
    <row r="102" hidden="1" ht="12.75" customHeight="1" s="410">
      <c r="A102" s="610" t="n"/>
      <c r="B102" s="443" t="n"/>
      <c r="C102" s="544" t="n"/>
      <c r="D102" s="544" t="n"/>
      <c r="E102" s="544" t="n"/>
      <c r="F102" s="512" t="n"/>
      <c r="G102" s="442" t="n"/>
      <c r="H102" s="443" t="n"/>
      <c r="I102" s="672" t="n"/>
      <c r="J102" s="568" t="n"/>
    </row>
    <row r="103" hidden="1" ht="12.75" customHeight="1" s="410">
      <c r="A103" s="673" t="inlineStr">
        <is>
          <t>SOMATÓRIO DOS VALORES REFERENTES A ENSAIOS................................................................</t>
        </is>
      </c>
      <c r="B103" s="442" t="n"/>
      <c r="C103" s="442" t="n"/>
      <c r="D103" s="442" t="n"/>
      <c r="E103" s="442" t="n"/>
      <c r="F103" s="442" t="n"/>
      <c r="G103" s="442" t="n"/>
      <c r="H103" s="443" t="n"/>
      <c r="I103" s="674" t="n"/>
      <c r="J103" s="568">
        <f>SUM(J100:J102)</f>
        <v/>
      </c>
    </row>
    <row r="104" hidden="1" ht="12.75" customHeight="1" s="410">
      <c r="A104" s="675" t="n"/>
      <c r="B104" s="465" t="n"/>
      <c r="C104" s="465" t="n"/>
      <c r="D104" s="465" t="n"/>
      <c r="E104" s="465" t="n"/>
      <c r="F104" s="465" t="n"/>
      <c r="G104" s="465" t="n"/>
      <c r="H104" s="465" t="n"/>
      <c r="I104" s="465" t="n"/>
      <c r="J104" s="431" t="n"/>
    </row>
    <row r="105" ht="18" customHeight="1" s="410">
      <c r="A105" s="529" t="inlineStr">
        <is>
          <t>OBSERVAÇÕES</t>
        </is>
      </c>
      <c r="B105" s="417" t="n"/>
      <c r="C105" s="417" t="n"/>
      <c r="D105" s="417" t="n"/>
      <c r="E105" s="417" t="n"/>
      <c r="F105" s="417" t="n"/>
      <c r="G105" s="417" t="n"/>
      <c r="H105" s="417" t="n"/>
      <c r="I105" s="417" t="n"/>
      <c r="J105" s="530" t="n"/>
    </row>
    <row r="106" ht="19.5" customHeight="1" s="410">
      <c r="A106" s="676" t="n"/>
      <c r="B106" s="460" t="n"/>
      <c r="C106" s="460" t="n"/>
      <c r="D106" s="460" t="n"/>
      <c r="E106" s="460" t="n"/>
      <c r="F106" s="460" t="n"/>
      <c r="G106" s="460" t="n"/>
      <c r="H106" s="460" t="n"/>
      <c r="I106" s="460" t="n"/>
      <c r="J106" s="461" t="n"/>
    </row>
    <row r="107" ht="19.5" customHeight="1" s="410">
      <c r="A107" s="677" t="n"/>
      <c r="B107" s="442" t="n"/>
      <c r="C107" s="442" t="n"/>
      <c r="D107" s="442" t="n"/>
      <c r="E107" s="442" t="n"/>
      <c r="F107" s="442" t="n"/>
      <c r="G107" s="442" t="n"/>
      <c r="H107" s="442" t="n"/>
      <c r="I107" s="442" t="n"/>
      <c r="J107" s="504" t="n"/>
    </row>
    <row r="108" ht="19.5" customHeight="1" s="410">
      <c r="A108" s="677" t="n"/>
      <c r="B108" s="442" t="n"/>
      <c r="C108" s="442" t="n"/>
      <c r="D108" s="442" t="n"/>
      <c r="E108" s="442" t="n"/>
      <c r="F108" s="442" t="n"/>
      <c r="G108" s="442" t="n"/>
      <c r="H108" s="442" t="n"/>
      <c r="I108" s="442" t="n"/>
      <c r="J108" s="504" t="n"/>
    </row>
    <row r="109" ht="19.5" customHeight="1" s="410">
      <c r="A109" s="677" t="n"/>
      <c r="B109" s="442" t="n"/>
      <c r="C109" s="442" t="n"/>
      <c r="D109" s="442" t="n"/>
      <c r="E109" s="442" t="n"/>
      <c r="F109" s="442" t="n"/>
      <c r="G109" s="442" t="n"/>
      <c r="H109" s="442" t="n"/>
      <c r="I109" s="442" t="n"/>
      <c r="J109" s="504" t="n"/>
    </row>
    <row r="110" ht="19.5" customHeight="1" s="410">
      <c r="A110" s="677" t="n"/>
      <c r="B110" s="442" t="n"/>
      <c r="C110" s="442" t="n"/>
      <c r="D110" s="442" t="n"/>
      <c r="E110" s="442" t="n"/>
      <c r="F110" s="442" t="n"/>
      <c r="G110" s="442" t="n"/>
      <c r="H110" s="442" t="n"/>
      <c r="I110" s="442" t="n"/>
      <c r="J110" s="504" t="n"/>
    </row>
    <row r="111" ht="19.5" customHeight="1" s="410">
      <c r="A111" s="677" t="n"/>
      <c r="B111" s="442" t="n"/>
      <c r="C111" s="442" t="n"/>
      <c r="D111" s="442" t="n"/>
      <c r="E111" s="442" t="n"/>
      <c r="F111" s="442" t="n"/>
      <c r="G111" s="442" t="n"/>
      <c r="H111" s="442" t="n"/>
      <c r="I111" s="442" t="n"/>
      <c r="J111" s="504" t="n"/>
    </row>
    <row r="112" ht="19.5" customHeight="1" s="410">
      <c r="A112" s="678" t="n"/>
      <c r="B112" s="484" t="n"/>
      <c r="C112" s="484" t="n"/>
      <c r="D112" s="484" t="n"/>
      <c r="E112" s="484" t="n"/>
      <c r="F112" s="484" t="n"/>
      <c r="G112" s="484" t="n"/>
      <c r="H112" s="484" t="n"/>
      <c r="I112" s="484" t="n"/>
      <c r="J112" s="493" t="n"/>
    </row>
  </sheetData>
  <mergeCells count="157">
    <mergeCell ref="A39:E39"/>
    <mergeCell ref="G81:H81"/>
    <mergeCell ref="E62:F62"/>
    <mergeCell ref="E71:F71"/>
    <mergeCell ref="A7:A8"/>
    <mergeCell ref="A43:J43"/>
    <mergeCell ref="H55:H56"/>
    <mergeCell ref="F100:H100"/>
    <mergeCell ref="E64:F64"/>
    <mergeCell ref="E73:F73"/>
    <mergeCell ref="J98:J99"/>
    <mergeCell ref="E51:F51"/>
    <mergeCell ref="B86:C86"/>
    <mergeCell ref="E87:F87"/>
    <mergeCell ref="B4:K4"/>
    <mergeCell ref="A90:B90"/>
    <mergeCell ref="J55:J56"/>
    <mergeCell ref="F102:H102"/>
    <mergeCell ref="E63:F63"/>
    <mergeCell ref="D7:D8"/>
    <mergeCell ref="A77:J77"/>
    <mergeCell ref="D78:D79"/>
    <mergeCell ref="A91:A92"/>
    <mergeCell ref="E65:F65"/>
    <mergeCell ref="A101:B101"/>
    <mergeCell ref="A6:J6"/>
    <mergeCell ref="A98:B99"/>
    <mergeCell ref="E49:F49"/>
    <mergeCell ref="B40:C40"/>
    <mergeCell ref="I44:I45"/>
    <mergeCell ref="E85:F85"/>
    <mergeCell ref="G85:H85"/>
    <mergeCell ref="H91:H92"/>
    <mergeCell ref="D98:E98"/>
    <mergeCell ref="B91:B92"/>
    <mergeCell ref="G84:H84"/>
    <mergeCell ref="F7:F8"/>
    <mergeCell ref="E44:F45"/>
    <mergeCell ref="A104:J104"/>
    <mergeCell ref="K55:K56"/>
    <mergeCell ref="C98:C99"/>
    <mergeCell ref="G86:H86"/>
    <mergeCell ref="A106:J106"/>
    <mergeCell ref="E67:F67"/>
    <mergeCell ref="G7:G8"/>
    <mergeCell ref="F101:H101"/>
    <mergeCell ref="I7:I8"/>
    <mergeCell ref="A96:J96"/>
    <mergeCell ref="E48:F48"/>
    <mergeCell ref="G48:H48"/>
    <mergeCell ref="F98:H99"/>
    <mergeCell ref="I1:K1"/>
    <mergeCell ref="J91:J92"/>
    <mergeCell ref="B44:B45"/>
    <mergeCell ref="G49:H49"/>
    <mergeCell ref="A52:I52"/>
    <mergeCell ref="E47:F47"/>
    <mergeCell ref="H2:IV2"/>
    <mergeCell ref="A110:J110"/>
    <mergeCell ref="B55:B56"/>
    <mergeCell ref="B84:C84"/>
    <mergeCell ref="D55:D56"/>
    <mergeCell ref="I88:J88"/>
    <mergeCell ref="A108:J108"/>
    <mergeCell ref="A100:B100"/>
    <mergeCell ref="B80:C80"/>
    <mergeCell ref="B7:B8"/>
    <mergeCell ref="E66:F66"/>
    <mergeCell ref="A102:B102"/>
    <mergeCell ref="E58:F58"/>
    <mergeCell ref="A42:J42"/>
    <mergeCell ref="E50:F50"/>
    <mergeCell ref="E68:F68"/>
    <mergeCell ref="A75:I75"/>
    <mergeCell ref="A78:A79"/>
    <mergeCell ref="B81:C81"/>
    <mergeCell ref="E83:F83"/>
    <mergeCell ref="A1:B1"/>
    <mergeCell ref="A112:J112"/>
    <mergeCell ref="C44:C45"/>
    <mergeCell ref="J40:K40"/>
    <mergeCell ref="A88:H88"/>
    <mergeCell ref="F91:F92"/>
    <mergeCell ref="E69:F69"/>
    <mergeCell ref="E84:F84"/>
    <mergeCell ref="G55:G56"/>
    <mergeCell ref="E78:F78"/>
    <mergeCell ref="A3:B3"/>
    <mergeCell ref="B82:C82"/>
    <mergeCell ref="D91:E91"/>
    <mergeCell ref="G87:H87"/>
    <mergeCell ref="A107:J107"/>
    <mergeCell ref="E59:F59"/>
    <mergeCell ref="I87:J87"/>
    <mergeCell ref="C90:J90"/>
    <mergeCell ref="E46:F46"/>
    <mergeCell ref="E86:F86"/>
    <mergeCell ref="E80:F80"/>
    <mergeCell ref="C7:C8"/>
    <mergeCell ref="G80:H80"/>
    <mergeCell ref="C91:C92"/>
    <mergeCell ref="E7:E8"/>
    <mergeCell ref="B2:E2"/>
    <mergeCell ref="A54:J54"/>
    <mergeCell ref="E61:F61"/>
    <mergeCell ref="E70:F70"/>
    <mergeCell ref="B83:C83"/>
    <mergeCell ref="E57:F57"/>
    <mergeCell ref="G51:H51"/>
    <mergeCell ref="E72:F72"/>
    <mergeCell ref="E81:F81"/>
    <mergeCell ref="B85:C85"/>
    <mergeCell ref="G50:H50"/>
    <mergeCell ref="A76:J76"/>
    <mergeCell ref="J39:K39"/>
    <mergeCell ref="A41:C41"/>
    <mergeCell ref="J44:J45"/>
    <mergeCell ref="B78:C79"/>
    <mergeCell ref="J78:J79"/>
    <mergeCell ref="A53:J53"/>
    <mergeCell ref="A109:J109"/>
    <mergeCell ref="D40:E40"/>
    <mergeCell ref="A103:H103"/>
    <mergeCell ref="F40:G40"/>
    <mergeCell ref="C97:J97"/>
    <mergeCell ref="E82:F82"/>
    <mergeCell ref="F3:G3"/>
    <mergeCell ref="G82:H82"/>
    <mergeCell ref="A111:J111"/>
    <mergeCell ref="C1:G1"/>
    <mergeCell ref="A55:A56"/>
    <mergeCell ref="C55:C56"/>
    <mergeCell ref="H7:H8"/>
    <mergeCell ref="D41:E41"/>
    <mergeCell ref="J7:J8"/>
    <mergeCell ref="G44:H45"/>
    <mergeCell ref="F41:G41"/>
    <mergeCell ref="E60:F60"/>
    <mergeCell ref="E74:F74"/>
    <mergeCell ref="I3:J3"/>
    <mergeCell ref="G83:H83"/>
    <mergeCell ref="B87:C87"/>
    <mergeCell ref="I55:I56"/>
    <mergeCell ref="J41:K41"/>
    <mergeCell ref="C3:E3"/>
    <mergeCell ref="K7:K8"/>
    <mergeCell ref="I78:I79"/>
    <mergeCell ref="A5:K5"/>
    <mergeCell ref="A97:B97"/>
    <mergeCell ref="A44:A45"/>
    <mergeCell ref="E55:F56"/>
    <mergeCell ref="A89:J89"/>
    <mergeCell ref="G47:H47"/>
    <mergeCell ref="G78:H79"/>
    <mergeCell ref="A105:J105"/>
    <mergeCell ref="G46:H46"/>
    <mergeCell ref="D44:D45"/>
  </mergeCells>
  <conditionalFormatting sqref="A9:B26">
    <cfRule type="cellIs" rank="0" priority="2" equalAverage="0" operator="equal" aboveAverage="0" dxfId="0" text="" percent="0" bottom="0">
      <formula>0</formula>
    </cfRule>
  </conditionalFormatting>
  <conditionalFormatting sqref="B27:B38">
    <cfRule type="expression" rank="0" priority="3" equalAverage="0" aboveAverage="0" dxfId="0" text="" percent="0" bottom="0">
      <formula>ISERROR(B27)</formula>
    </cfRule>
    <cfRule type="expression" rank="0" priority="4" equalAverage="0" aboveAverage="0" dxfId="72" text="" percent="0" bottom="0">
      <formula>ISERROR(B27)</formula>
    </cfRule>
  </conditionalFormatting>
  <dataValidations count="1">
    <dataValidation sqref="I57:I74" showDropDown="0" showInputMessage="0" showErrorMessage="1" allowBlank="1" type="list" errorStyle="stop" operator="between">
      <formula1>$M$56:$M$63</formula1>
      <formula2>0</formula2>
    </dataValidation>
  </dataValidations>
  <printOptions horizontalCentered="1" verticalCentered="0" headings="0" gridLines="0" gridLinesSet="1"/>
  <pageMargins left="0.236111111111111" right="0.196527777777778" top="0.236111111111111" bottom="0.472916666666667" header="0.511811023622047" footer="0.157638888888889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&amp;L&amp;F&amp;C&amp;P / &amp;N  &amp;D  - &amp;T&amp;R&amp;A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Ari Finger</dc:creator>
  <dc:title xmlns:dc="http://purl.org/dc/elements/1.1/">Ficha de Orçamentos</dc:title>
  <dc:description xmlns:dc="http://purl.org/dc/elements/1.1/">Amalcaburio</dc:description>
  <dc:subject xmlns:dc="http://purl.org/dc/elements/1.1/">Ficha de Orçamentos</dc:subject>
  <dc:language xmlns:dc="http://purl.org/dc/elements/1.1/">en-US</dc:language>
  <dcterms:created xmlns:dcterms="http://purl.org/dc/terms/" xmlns:xsi="http://www.w3.org/2001/XMLSchema-instance" xsi:type="dcterms:W3CDTF">2013-06-10T11:45:21Z</dcterms:created>
  <dcterms:modified xmlns:dcterms="http://purl.org/dc/terms/" xmlns:xsi="http://www.w3.org/2001/XMLSchema-instance" xsi:type="dcterms:W3CDTF">2026-10-30T09:57:33Z</dcterms:modified>
  <cp:lastModifiedBy>Ari Finger</cp:lastModifiedBy>
  <cp:revision>0</cp:revision>
  <cp:lastPrinted>2023-11-16T14:05:37Z</cp:lastPrinted>
</cp:coreProperties>
</file>