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G:\Engenharia\PLANILHAS DE CÁLCULO\"/>
    </mc:Choice>
  </mc:AlternateContent>
  <xr:revisionPtr revIDLastSave="0" documentId="8_{A46CDCDC-596A-4AA3-9DF4-2E2A16F58BA9}" xr6:coauthVersionLast="47" xr6:coauthVersionMax="47" xr10:uidLastSave="{00000000-0000-0000-0000-000000000000}"/>
  <bookViews>
    <workbookView xWindow="-120" yWindow="-120" windowWidth="29040" windowHeight="15720" tabRatio="903" firstSheet="24" activeTab="35" xr2:uid="{00000000-000D-0000-FFFF-FFFF00000000}"/>
  </bookViews>
  <sheets>
    <sheet name="MENU" sheetId="1" r:id="rId1"/>
    <sheet name="Raio Médio" sheetId="2" r:id="rId2"/>
    <sheet name="Tubo Redondo" sheetId="6" r:id="rId3"/>
    <sheet name="Tubo Quadrado" sheetId="7" r:id="rId4"/>
    <sheet name="Tubo Retangular" sheetId="8" r:id="rId5"/>
    <sheet name="Barra Redonda" sheetId="11" r:id="rId6"/>
    <sheet name="Conversão mm x in" sheetId="9" r:id="rId7"/>
    <sheet name="Cálculo Sobra Tubos" sheetId="10" r:id="rId8"/>
    <sheet name="Barra Quadrada" sheetId="12" r:id="rId9"/>
    <sheet name="Barra Sextavada" sheetId="13" r:id="rId10"/>
    <sheet name="Chapa Circular" sheetId="14" r:id="rId11"/>
    <sheet name="Plástico Bolha" sheetId="16" r:id="rId12"/>
    <sheet name="Definir Prensa" sheetId="15" r:id="rId13"/>
    <sheet name="ø para Perímetro" sheetId="18" r:id="rId14"/>
    <sheet name="Volume" sheetId="20" r:id="rId15"/>
    <sheet name="Túnel Pintura" sheetId="21" r:id="rId16"/>
    <sheet name="Pintura Pistola" sheetId="23" r:id="rId17"/>
    <sheet name="Tempo Pintura Pistola" sheetId="24" r:id="rId18"/>
    <sheet name="Tempo Túnel Pintura" sheetId="62" r:id="rId19"/>
    <sheet name="Tempo Túnel Pintura - Old" sheetId="25" r:id="rId20"/>
    <sheet name="Tinta AGCO" sheetId="29" r:id="rId21"/>
    <sheet name="Peso Chapas Plásticas" sheetId="33" r:id="rId22"/>
    <sheet name="Custo Mão de Obra Plásticos" sheetId="34" r:id="rId23"/>
    <sheet name="Aproveitamento Chapas" sheetId="46" r:id="rId24"/>
    <sheet name="Tinta + Fundo AGCO" sheetId="47" r:id="rId25"/>
    <sheet name="Tempos EMS" sheetId="51" r:id="rId26"/>
    <sheet name="Quantidade Tinta Pó" sheetId="52" r:id="rId27"/>
    <sheet name="Ativar Macros" sheetId="40" r:id="rId28"/>
    <sheet name="Botões Menu" sheetId="48" r:id="rId29"/>
    <sheet name="Perfil T" sheetId="53" r:id="rId30"/>
    <sheet name="Vigas U" sheetId="54" r:id="rId31"/>
    <sheet name="Vigas I" sheetId="55" r:id="rId32"/>
    <sheet name="Cantoneiras" sheetId="56" r:id="rId33"/>
    <sheet name="Desenvolvimento de Chapas" sheetId="57" r:id="rId34"/>
    <sheet name="Ferro Chato" sheetId="58" r:id="rId35"/>
    <sheet name="Aproveitamento + Guilhotina" sheetId="59" r:id="rId36"/>
    <sheet name="Corte Laser 2D - 3kW" sheetId="65" r:id="rId37"/>
    <sheet name="Corte Laser 2D - 12kW" sheetId="66" r:id="rId38"/>
    <sheet name="Corte Laser 3D" sheetId="61" r:id="rId39"/>
    <sheet name="Fator K" sheetId="63" r:id="rId40"/>
    <sheet name="Aproveitamento Sliter" sheetId="64" r:id="rId41"/>
  </sheets>
  <externalReferences>
    <externalReference r:id="rId42"/>
    <externalReference r:id="rId43"/>
    <externalReference r:id="rId44"/>
  </externalReferences>
  <definedNames>
    <definedName name="Excel_BuiltIn__FilterDatabase_1" localSheetId="35">'Peso Chapas Plásticas'!#REF!</definedName>
    <definedName name="Excel_BuiltIn__FilterDatabase_1" localSheetId="37">'[1]Peso Chapas Plásticas'!#REF!</definedName>
    <definedName name="Excel_BuiltIn__FilterDatabase_1" localSheetId="36">'[1]Peso Chapas Plásticas'!#REF!</definedName>
    <definedName name="Excel_BuiltIn__FilterDatabase_1" localSheetId="38">'[1]Peso Chapas Plásticas'!#REF!</definedName>
    <definedName name="Excel_BuiltIn__FilterDatabase_1" localSheetId="22">'[2]PESO CHAPAS'!#REF!</definedName>
    <definedName name="Excel_BuiltIn__FilterDatabase_1" localSheetId="34">'Peso Chapas Plásticas'!#REF!</definedName>
    <definedName name="Excel_BuiltIn__FilterDatabase_1">'Peso Chapas Plásticas'!#REF!</definedName>
    <definedName name="excel2" localSheetId="18">'[3]Peso Chapas Plásticas'!#REF!</definedName>
    <definedName name="excel2">'[3]Peso Chapas Plásticas'!#REF!</definedName>
    <definedName name="excel2015" localSheetId="18">'[3]Peso Chapas Plásticas'!#REF!</definedName>
    <definedName name="excel2015">'[3]Peso Chapas Plásticas'!#REF!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2" i="66" l="1"/>
  <c r="R12" i="66"/>
  <c r="N12" i="66"/>
  <c r="J12" i="66"/>
  <c r="B9" i="66" l="1"/>
  <c r="B5" i="66"/>
  <c r="B23" i="66" l="1"/>
  <c r="B19" i="66"/>
  <c r="V16" i="66"/>
  <c r="R16" i="66"/>
  <c r="N16" i="66"/>
  <c r="J16" i="66"/>
  <c r="D16" i="66"/>
  <c r="B16" i="66"/>
  <c r="B13" i="66"/>
  <c r="D16" i="65"/>
  <c r="V16" i="65"/>
  <c r="R16" i="65"/>
  <c r="N16" i="65"/>
  <c r="V12" i="65"/>
  <c r="R12" i="65"/>
  <c r="P15" i="52"/>
  <c r="J6" i="52" s="1"/>
  <c r="N12" i="65"/>
  <c r="J12" i="65"/>
  <c r="D22" i="66" l="1"/>
  <c r="I22" i="66" s="1"/>
  <c r="B22" i="65"/>
  <c r="B19" i="65"/>
  <c r="B16" i="65"/>
  <c r="B12" i="65"/>
  <c r="B8" i="65"/>
  <c r="B5" i="65"/>
  <c r="J16" i="65"/>
  <c r="D22" i="65" s="1"/>
  <c r="F7" i="33"/>
  <c r="I22" i="65" l="1"/>
  <c r="O16" i="64"/>
  <c r="C16" i="64"/>
  <c r="C21" i="64" s="1"/>
  <c r="O21" i="64" l="1"/>
  <c r="I18" i="64" s="1"/>
  <c r="C16" i="63"/>
  <c r="J14" i="61" l="1"/>
  <c r="B10" i="61"/>
  <c r="D9" i="21"/>
  <c r="D17" i="21"/>
  <c r="E8" i="62"/>
  <c r="A8" i="62"/>
  <c r="E10" i="62" s="1"/>
  <c r="C8" i="62"/>
  <c r="C10" i="62" s="1"/>
  <c r="J21" i="23"/>
  <c r="J4" i="23"/>
  <c r="J23" i="52"/>
  <c r="J27" i="52" s="1"/>
  <c r="J11" i="52"/>
  <c r="N14" i="53"/>
  <c r="F11" i="53"/>
  <c r="D11" i="53"/>
  <c r="D10" i="53"/>
  <c r="G7" i="25"/>
  <c r="G9" i="25" s="1"/>
  <c r="A7" i="25"/>
  <c r="A9" i="25" s="1"/>
  <c r="B17" i="61"/>
  <c r="N14" i="61"/>
  <c r="D14" i="61"/>
  <c r="B14" i="61"/>
  <c r="N10" i="61"/>
  <c r="J10" i="61"/>
  <c r="B8" i="61"/>
  <c r="B5" i="61"/>
  <c r="M23" i="59"/>
  <c r="D81" i="59"/>
  <c r="L2" i="59"/>
  <c r="M68" i="59"/>
  <c r="N18" i="59"/>
  <c r="K68" i="59"/>
  <c r="F60" i="59"/>
  <c r="B47" i="59"/>
  <c r="D32" i="59"/>
  <c r="D28" i="59"/>
  <c r="E19" i="59"/>
  <c r="E20" i="59" s="1"/>
  <c r="D19" i="59"/>
  <c r="D20" i="59" s="1"/>
  <c r="C19" i="59"/>
  <c r="E11" i="59"/>
  <c r="D11" i="59"/>
  <c r="D13" i="59" s="1"/>
  <c r="A16" i="59" s="1"/>
  <c r="C9" i="59"/>
  <c r="F7" i="59"/>
  <c r="C16" i="58"/>
  <c r="B16" i="58"/>
  <c r="E14" i="58"/>
  <c r="J16" i="57"/>
  <c r="F14" i="56"/>
  <c r="G28" i="55"/>
  <c r="E28" i="55"/>
  <c r="G27" i="55"/>
  <c r="E27" i="55"/>
  <c r="G26" i="55"/>
  <c r="E26" i="55"/>
  <c r="G25" i="55"/>
  <c r="E25" i="55"/>
  <c r="G24" i="55"/>
  <c r="E24" i="55"/>
  <c r="G23" i="55"/>
  <c r="E23" i="55"/>
  <c r="G22" i="55"/>
  <c r="E22" i="55"/>
  <c r="G21" i="55"/>
  <c r="E21" i="55"/>
  <c r="G20" i="55"/>
  <c r="E20" i="55"/>
  <c r="G19" i="55"/>
  <c r="E19" i="55"/>
  <c r="G18" i="55"/>
  <c r="E18" i="55"/>
  <c r="G17" i="55"/>
  <c r="E17" i="55"/>
  <c r="G16" i="55"/>
  <c r="E16" i="55"/>
  <c r="G15" i="55"/>
  <c r="E15" i="55"/>
  <c r="O14" i="55"/>
  <c r="G14" i="55"/>
  <c r="E14" i="55"/>
  <c r="G13" i="55"/>
  <c r="E13" i="55"/>
  <c r="G12" i="55"/>
  <c r="E12" i="55"/>
  <c r="G11" i="55"/>
  <c r="E11" i="55"/>
  <c r="G10" i="55"/>
  <c r="E10" i="55"/>
  <c r="G9" i="55"/>
  <c r="E9" i="55"/>
  <c r="G8" i="55"/>
  <c r="E8" i="55"/>
  <c r="G7" i="55"/>
  <c r="E7" i="55"/>
  <c r="G6" i="55"/>
  <c r="E6" i="55"/>
  <c r="G5" i="55"/>
  <c r="E5" i="55"/>
  <c r="G4" i="55"/>
  <c r="E4" i="55"/>
  <c r="G25" i="54"/>
  <c r="E25" i="54"/>
  <c r="G24" i="54"/>
  <c r="E24" i="54"/>
  <c r="G23" i="54"/>
  <c r="E23" i="54"/>
  <c r="G22" i="54"/>
  <c r="E22" i="54"/>
  <c r="G21" i="54"/>
  <c r="E21" i="54"/>
  <c r="G20" i="54"/>
  <c r="E20" i="54"/>
  <c r="G19" i="54"/>
  <c r="E19" i="54"/>
  <c r="G18" i="54"/>
  <c r="E18" i="54"/>
  <c r="G17" i="54"/>
  <c r="E17" i="54"/>
  <c r="G16" i="54"/>
  <c r="E16" i="54"/>
  <c r="G15" i="54"/>
  <c r="E15" i="54"/>
  <c r="O14" i="54"/>
  <c r="G14" i="54"/>
  <c r="E14" i="54"/>
  <c r="G13" i="54"/>
  <c r="E13" i="54"/>
  <c r="G12" i="54"/>
  <c r="E12" i="54"/>
  <c r="G11" i="54"/>
  <c r="E11" i="54"/>
  <c r="G10" i="54"/>
  <c r="E10" i="54"/>
  <c r="G9" i="54"/>
  <c r="E9" i="54"/>
  <c r="G8" i="54"/>
  <c r="E8" i="54"/>
  <c r="G7" i="54"/>
  <c r="E7" i="54"/>
  <c r="G6" i="54"/>
  <c r="E6" i="54"/>
  <c r="G5" i="54"/>
  <c r="E5" i="54"/>
  <c r="G4" i="54"/>
  <c r="E4" i="54"/>
  <c r="F14" i="53"/>
  <c r="D14" i="53"/>
  <c r="F13" i="53"/>
  <c r="D13" i="53"/>
  <c r="F12" i="53"/>
  <c r="D12" i="53"/>
  <c r="F10" i="53"/>
  <c r="F9" i="53"/>
  <c r="D9" i="53"/>
  <c r="F8" i="53"/>
  <c r="D8" i="53"/>
  <c r="F7" i="53"/>
  <c r="D7" i="53"/>
  <c r="F6" i="53"/>
  <c r="D6" i="53"/>
  <c r="F5" i="53"/>
  <c r="D5" i="53"/>
  <c r="F4" i="53"/>
  <c r="D4" i="53"/>
  <c r="IQ21" i="51"/>
  <c r="IT18" i="51"/>
  <c r="IR18" i="51"/>
  <c r="H6" i="51"/>
  <c r="IQ7" i="51" s="1"/>
  <c r="P26" i="1"/>
  <c r="G10" i="47"/>
  <c r="D9" i="47" s="1"/>
  <c r="G5" i="47"/>
  <c r="E4" i="47" s="1"/>
  <c r="F60" i="46"/>
  <c r="B47" i="46"/>
  <c r="D32" i="46"/>
  <c r="D28" i="46"/>
  <c r="E19" i="46"/>
  <c r="E20" i="46" s="1"/>
  <c r="D19" i="46"/>
  <c r="D20" i="46" s="1"/>
  <c r="C19" i="46"/>
  <c r="E11" i="46"/>
  <c r="E13" i="46"/>
  <c r="E16" i="46" s="1"/>
  <c r="D11" i="46"/>
  <c r="D13" i="46" s="1"/>
  <c r="A16" i="46" s="1"/>
  <c r="C9" i="46"/>
  <c r="H7" i="46"/>
  <c r="J3" i="46"/>
  <c r="H3" i="46"/>
  <c r="G20" i="46" s="1"/>
  <c r="Z17" i="33"/>
  <c r="D5" i="29"/>
  <c r="D6" i="29" s="1"/>
  <c r="D7" i="29" s="1"/>
  <c r="J11" i="25"/>
  <c r="D11" i="25"/>
  <c r="J10" i="25"/>
  <c r="D10" i="25"/>
  <c r="B4" i="24"/>
  <c r="C4" i="24" s="1"/>
  <c r="E9" i="24" s="1"/>
  <c r="E19" i="20"/>
  <c r="H19" i="20" s="1"/>
  <c r="Q22" i="23"/>
  <c r="T22" i="23" s="1"/>
  <c r="Q28" i="23"/>
  <c r="Q26" i="23" s="1"/>
  <c r="D18" i="18"/>
  <c r="I21" i="18" s="1"/>
  <c r="G21" i="18" s="1"/>
  <c r="G22" i="18" s="1"/>
  <c r="I22" i="18"/>
  <c r="I7" i="18"/>
  <c r="H7" i="18"/>
  <c r="H8" i="18" s="1"/>
  <c r="G7" i="18"/>
  <c r="G8" i="18" s="1"/>
  <c r="D4" i="18"/>
  <c r="D21" i="16"/>
  <c r="B18" i="15"/>
  <c r="D4" i="14"/>
  <c r="D9" i="14"/>
  <c r="G7" i="14" s="1"/>
  <c r="I14" i="13"/>
  <c r="I13" i="12"/>
  <c r="I13" i="11"/>
  <c r="IN19" i="10"/>
  <c r="IN10" i="10"/>
  <c r="AY11" i="10" s="1"/>
  <c r="R17" i="10" s="1"/>
  <c r="AY16" i="10" s="1"/>
  <c r="AY10" i="10"/>
  <c r="AY4" i="10"/>
  <c r="IN3" i="10"/>
  <c r="AY3" i="10"/>
  <c r="AF19" i="9"/>
  <c r="AF16" i="9"/>
  <c r="P16" i="8"/>
  <c r="Q16" i="8"/>
  <c r="O16" i="7"/>
  <c r="P16" i="7" s="1"/>
  <c r="Q16" i="6"/>
  <c r="U8" i="10" s="1"/>
  <c r="O16" i="6"/>
  <c r="J3" i="2"/>
  <c r="F4" i="2"/>
  <c r="G16" i="2"/>
  <c r="S16" i="8"/>
  <c r="F4" i="47"/>
  <c r="Q20" i="23"/>
  <c r="T20" i="23" s="1"/>
  <c r="I8" i="18"/>
  <c r="E12" i="46"/>
  <c r="D33" i="46" s="1"/>
  <c r="L6" i="59"/>
  <c r="M8" i="59"/>
  <c r="M6" i="59"/>
  <c r="E68" i="59"/>
  <c r="F68" i="59"/>
  <c r="M19" i="59"/>
  <c r="I68" i="59" s="1"/>
  <c r="L8" i="59"/>
  <c r="L12" i="59"/>
  <c r="E13" i="59" l="1"/>
  <c r="E16" i="59" s="1"/>
  <c r="E12" i="59"/>
  <c r="H3" i="59"/>
  <c r="G20" i="59" s="1"/>
  <c r="J3" i="59"/>
  <c r="IS18" i="51"/>
  <c r="IS22" i="51" s="1"/>
  <c r="IT22" i="51" s="1"/>
  <c r="F10" i="51" s="1"/>
  <c r="R16" i="7"/>
  <c r="A10" i="62"/>
  <c r="O18" i="52"/>
  <c r="E14" i="46"/>
  <c r="E15" i="46" s="1"/>
  <c r="Q21" i="23"/>
  <c r="T21" i="23" s="1"/>
  <c r="IN4" i="10"/>
  <c r="S13" i="10" s="1"/>
  <c r="IN15" i="10" s="1"/>
  <c r="IN16" i="10" s="1"/>
  <c r="S17" i="10" s="1"/>
  <c r="D12" i="59"/>
  <c r="IP4" i="51"/>
  <c r="IQ4" i="51" s="1"/>
  <c r="IQ12" i="51" s="1"/>
  <c r="IR4" i="51"/>
  <c r="IT4" i="51" s="1"/>
  <c r="T26" i="23"/>
  <c r="Q27" i="23"/>
  <c r="T27" i="23" s="1"/>
  <c r="D21" i="46"/>
  <c r="D22" i="46"/>
  <c r="A25" i="46" s="1"/>
  <c r="M21" i="59"/>
  <c r="AY20" i="10"/>
  <c r="IN20" i="10" s="1"/>
  <c r="AY12" i="10"/>
  <c r="E22" i="46"/>
  <c r="E25" i="46" s="1"/>
  <c r="E21" i="46"/>
  <c r="AY13" i="10"/>
  <c r="R21" i="10" s="1"/>
  <c r="AY17" i="10" s="1"/>
  <c r="IN17" i="10" s="1"/>
  <c r="S21" i="10" s="1"/>
  <c r="D4" i="47"/>
  <c r="G4" i="47" s="1"/>
  <c r="T28" i="23"/>
  <c r="H21" i="18"/>
  <c r="H22" i="18" s="1"/>
  <c r="E9" i="47"/>
  <c r="G9" i="47" s="1"/>
  <c r="F9" i="47"/>
  <c r="D12" i="46"/>
  <c r="D22" i="59"/>
  <c r="A25" i="59" s="1"/>
  <c r="D21" i="59"/>
  <c r="E22" i="59"/>
  <c r="E25" i="59" s="1"/>
  <c r="E21" i="59"/>
  <c r="D20" i="61"/>
  <c r="I20" i="61" s="1"/>
  <c r="F12" i="59" l="1"/>
  <c r="F21" i="59"/>
  <c r="E14" i="59"/>
  <c r="E15" i="59" s="1"/>
  <c r="IT23" i="51"/>
  <c r="G10" i="51" s="1"/>
  <c r="IP18" i="51"/>
  <c r="IQ18" i="51"/>
  <c r="IQ24" i="51" s="1"/>
  <c r="IS19" i="51"/>
  <c r="H10" i="51" s="1"/>
  <c r="D33" i="59"/>
  <c r="B33" i="59"/>
  <c r="A14" i="59"/>
  <c r="B32" i="59"/>
  <c r="I6" i="51"/>
  <c r="B33" i="46"/>
  <c r="B32" i="46"/>
  <c r="A14" i="46"/>
  <c r="S26" i="10"/>
  <c r="R26" i="10"/>
  <c r="F12" i="46"/>
  <c r="E23" i="46"/>
  <c r="E24" i="46"/>
  <c r="D29" i="46"/>
  <c r="A23" i="46"/>
  <c r="B29" i="46"/>
  <c r="B28" i="46"/>
  <c r="F21" i="46"/>
  <c r="B28" i="59"/>
  <c r="B29" i="59"/>
  <c r="A23" i="59"/>
  <c r="D29" i="59"/>
  <c r="E23" i="59"/>
  <c r="E24" i="59"/>
  <c r="I10" i="51" l="1"/>
  <c r="E32" i="59"/>
  <c r="E33" i="59"/>
  <c r="H12" i="59"/>
  <c r="E28" i="46"/>
  <c r="J8" i="46"/>
  <c r="H12" i="46"/>
  <c r="E32" i="46"/>
  <c r="J18" i="46"/>
  <c r="H21" i="46"/>
  <c r="E29" i="46"/>
  <c r="E34" i="46" s="1"/>
  <c r="H22" i="46" s="1"/>
  <c r="E33" i="46"/>
  <c r="E30" i="46" s="1"/>
  <c r="H13" i="46" s="1"/>
  <c r="J18" i="59"/>
  <c r="E28" i="59"/>
  <c r="J8" i="59"/>
  <c r="H21" i="59"/>
  <c r="E29" i="59"/>
  <c r="E30" i="59" l="1"/>
  <c r="H13" i="59" s="1"/>
  <c r="N41" i="46"/>
  <c r="C49" i="46"/>
  <c r="D53" i="46"/>
  <c r="S7" i="46"/>
  <c r="P6" i="46"/>
  <c r="S6" i="46"/>
  <c r="P7" i="46"/>
  <c r="L60" i="46"/>
  <c r="N41" i="59"/>
  <c r="C49" i="59"/>
  <c r="S6" i="59"/>
  <c r="P7" i="59"/>
  <c r="D53" i="59"/>
  <c r="P6" i="59"/>
  <c r="S7" i="59"/>
  <c r="L60" i="59"/>
  <c r="E34" i="59"/>
  <c r="H22" i="59" s="1"/>
</calcChain>
</file>

<file path=xl/sharedStrings.xml><?xml version="1.0" encoding="utf-8"?>
<sst xmlns="http://schemas.openxmlformats.org/spreadsheetml/2006/main" count="701" uniqueCount="346">
  <si>
    <t>COMPRIMENTO DA DOBRA (mm)</t>
  </si>
  <si>
    <t>DIÂMETRO DO TUBO (mm)</t>
  </si>
  <si>
    <t>ÂNGULO (graus)</t>
  </si>
  <si>
    <t>RAIO INTERNO (mm)</t>
  </si>
  <si>
    <t>RAIO INTERNO DA DOBRA</t>
  </si>
  <si>
    <t>RAIO MÉDIO (mm)</t>
  </si>
  <si>
    <t>Raio Interno</t>
  </si>
  <si>
    <t>Diametro</t>
  </si>
  <si>
    <t>Raio Médio</t>
  </si>
  <si>
    <t>RAIO MÉDIO DA DOBRA</t>
  </si>
  <si>
    <t>Espessura</t>
  </si>
  <si>
    <t>in</t>
  </si>
  <si>
    <t>Comprimento</t>
  </si>
  <si>
    <t>Peso</t>
  </si>
  <si>
    <t>Cálculo de Peso para Tubos Redondos Conforme ø e Espessura</t>
  </si>
  <si>
    <t>L</t>
  </si>
  <si>
    <t>Cálculo de Peso para Tubos Quadrados Conforme L e Espessura</t>
  </si>
  <si>
    <t>H</t>
  </si>
  <si>
    <t>Cálculo de Peso para Tubos Retangulares Conforme L, H e Espessura</t>
  </si>
  <si>
    <t>mm</t>
  </si>
  <si>
    <t>Cálculo para Conversão de Unidades mm x in</t>
  </si>
  <si>
    <t>SERRADO</t>
  </si>
  <si>
    <t>PEÇAS</t>
  </si>
  <si>
    <t>Quantidade</t>
  </si>
  <si>
    <t>SOBRA POR PEÇA</t>
  </si>
  <si>
    <t>PESO EMS</t>
  </si>
  <si>
    <t>Cálculo para Sobra de Tubos e Cadastro EMS</t>
  </si>
  <si>
    <t>TUBO MÚLTIPLO</t>
  </si>
  <si>
    <t>Diâmetro</t>
  </si>
  <si>
    <t>Base</t>
  </si>
  <si>
    <t>Barra de Aço Redondo</t>
  </si>
  <si>
    <t>Barra de Aço Quadrado</t>
  </si>
  <si>
    <t>Cálculo de Peso para Barras Redondas Conforme ø</t>
  </si>
  <si>
    <t>Cálculo de Peso para Barras Quadradas Conforme Base</t>
  </si>
  <si>
    <t>Barra de Aço Sextavado</t>
  </si>
  <si>
    <t>π:</t>
  </si>
  <si>
    <t>Espessura:</t>
  </si>
  <si>
    <t>Ø:</t>
  </si>
  <si>
    <t>Cálculo de Peso para Chapas Circulares</t>
  </si>
  <si>
    <t>Área:</t>
  </si>
  <si>
    <t>Comprimento da peça</t>
  </si>
  <si>
    <t>Será necessária prensa com capacidade de:</t>
  </si>
  <si>
    <t>Largura da peça</t>
  </si>
  <si>
    <t>CÓDIGO</t>
  </si>
  <si>
    <t>Cálculo para Definir a Tonelagem de Prensas</t>
  </si>
  <si>
    <t>Cálculo para Definir o Peso de Plástico Bolha Utilizado</t>
  </si>
  <si>
    <t>Largura</t>
  </si>
  <si>
    <t>*Largura</t>
  </si>
  <si>
    <t>* A largura é padronizada pelo tamanho da bobina</t>
  </si>
  <si>
    <t>Perímetro:</t>
  </si>
  <si>
    <t>Fórmula:</t>
  </si>
  <si>
    <t>Perímetro Ext.:</t>
  </si>
  <si>
    <t>Conversão de Diâmetro para Perímetro</t>
  </si>
  <si>
    <t>Ø Externo:</t>
  </si>
  <si>
    <t>Perímetro = π x Ø</t>
  </si>
  <si>
    <t>Interno (mm)</t>
  </si>
  <si>
    <t>Médio (mm)</t>
  </si>
  <si>
    <t>Externo (mm)</t>
  </si>
  <si>
    <t>Conversão de Perímetro para Diâmetro</t>
  </si>
  <si>
    <t>Ø = Perímetro / π</t>
  </si>
  <si>
    <t>Cálculo para Definir o Volume em Recipientes</t>
  </si>
  <si>
    <t>Altura</t>
  </si>
  <si>
    <t>Volume:</t>
  </si>
  <si>
    <t>Código</t>
  </si>
  <si>
    <t>Descrição</t>
  </si>
  <si>
    <t>Prop. (%)</t>
  </si>
  <si>
    <t>TINTA ALUMINIO ALTA ADERENCIA</t>
  </si>
  <si>
    <t>litros</t>
  </si>
  <si>
    <t>THINER AT - LB 12837</t>
  </si>
  <si>
    <t>Tubos</t>
  </si>
  <si>
    <t>Cálculo para Quantidade de Tinta Utilizada no Túnel de Pintura</t>
  </si>
  <si>
    <t>Obs.: P/ 2 lados da peça</t>
  </si>
  <si>
    <t>Diâmetro Externo</t>
  </si>
  <si>
    <t>Peças Planas</t>
  </si>
  <si>
    <t>Cálculo para Quantidade de Tinta Utilizada na Pintura a Pistola</t>
  </si>
  <si>
    <t>m²</t>
  </si>
  <si>
    <t>Cálculo de Tempo para Pintura a Pistola</t>
  </si>
  <si>
    <t>Área</t>
  </si>
  <si>
    <t>Tempo por m²</t>
  </si>
  <si>
    <t>Tempo da Peça (Tempo para EMS)</t>
  </si>
  <si>
    <t>PINTAR PEÇA TÚNEL</t>
  </si>
  <si>
    <t>LAVAR PEÇA TÚNEL</t>
  </si>
  <si>
    <t>DESCRIÇÃO DA NARRATIVA DA OPERAÇÃO</t>
  </si>
  <si>
    <t xml:space="preserve">Nº PÇS/GANCHO: </t>
  </si>
  <si>
    <t>INTERVALO:</t>
  </si>
  <si>
    <t>PRETO</t>
  </si>
  <si>
    <t>VERMELHO</t>
  </si>
  <si>
    <t>Cálculo de Tempo para Túnel de Pintura</t>
  </si>
  <si>
    <t>Tempo Máquina</t>
  </si>
  <si>
    <t>Tempo Homem</t>
  </si>
  <si>
    <t>Número de Homens</t>
  </si>
  <si>
    <t>Código Tinta</t>
  </si>
  <si>
    <t>Intervalo de Gancheiras</t>
  </si>
  <si>
    <t>Número de Peças Gancheira</t>
  </si>
  <si>
    <t>CHAPA</t>
  </si>
  <si>
    <t>QT. PÇ. P/BLANK</t>
  </si>
  <si>
    <t>PESO CHAPA</t>
  </si>
  <si>
    <t xml:space="preserve">  </t>
  </si>
  <si>
    <t>MODELO 1</t>
  </si>
  <si>
    <t>TOTAL PÇ.</t>
  </si>
  <si>
    <t>RESULTADO FINAL</t>
  </si>
  <si>
    <t>nº pçs</t>
  </si>
  <si>
    <t>PESO PÇ.</t>
  </si>
  <si>
    <t>KG. PÇ.</t>
  </si>
  <si>
    <t>RETALHO -</t>
  </si>
  <si>
    <t>QUANT. TIRA P/ CHAPA</t>
  </si>
  <si>
    <t>QUANT. PEÇA P/ TIRA</t>
  </si>
  <si>
    <t>CORTAR CHAPA EM TIRA</t>
  </si>
  <si>
    <t>PÇS P/HORA</t>
  </si>
  <si>
    <t>MODELO 2</t>
  </si>
  <si>
    <t>TINTA PU ACRILICA BRILHANTE</t>
  </si>
  <si>
    <t>CATALIZADOR PU ACRILICO</t>
  </si>
  <si>
    <t>REDUTOR DE INVERNO</t>
  </si>
  <si>
    <t>Cálculo para Quantidade de Tinta para AGCO</t>
  </si>
  <si>
    <t>Tipo</t>
  </si>
  <si>
    <t>ABS CINZA</t>
  </si>
  <si>
    <t>ABS PRETO</t>
  </si>
  <si>
    <t>ABS PRETO AGCO</t>
  </si>
  <si>
    <t>NORYL</t>
  </si>
  <si>
    <t>PEAD CINZA</t>
  </si>
  <si>
    <t>PEAD CINZA ESCURO</t>
  </si>
  <si>
    <t>PEAD CINZA GRAFITE</t>
  </si>
  <si>
    <t>PEAD PRETO 1ª LINHA</t>
  </si>
  <si>
    <t>PEAD PRETO 2ª LINHA</t>
  </si>
  <si>
    <t>PP</t>
  </si>
  <si>
    <t>Item</t>
  </si>
  <si>
    <t>Composição</t>
  </si>
  <si>
    <t>Custo M.O.</t>
  </si>
  <si>
    <t>ABS CINZA TEXT AGCO</t>
  </si>
  <si>
    <t>Cálculo para Peso de Peças Plásticas Conforme Composição Química</t>
  </si>
  <si>
    <t>Cálculo para Valor de Mão de Obra em Peças Plásticas</t>
  </si>
  <si>
    <t>Custos Mão de Obra</t>
  </si>
  <si>
    <t>Se for questionado, confirme para prosseguir.</t>
  </si>
  <si>
    <t xml:space="preserve">RETALHO </t>
  </si>
  <si>
    <t>X</t>
  </si>
  <si>
    <t>RETALHO</t>
  </si>
  <si>
    <t>TOTAL</t>
  </si>
  <si>
    <t>Peso Chapa</t>
  </si>
  <si>
    <t>Peso Peça</t>
  </si>
  <si>
    <t>Cálculo para Aproveitamento de Peças em Blanks (Chapas Planas Aço)</t>
  </si>
  <si>
    <t>FUNDO</t>
  </si>
  <si>
    <t>Primer</t>
  </si>
  <si>
    <t>Catalisador</t>
  </si>
  <si>
    <t>Diluente</t>
  </si>
  <si>
    <t>ACABAMENTO</t>
  </si>
  <si>
    <t>Cálculo para Definir Quantidade de Tinta e de Fundo para AGCO</t>
  </si>
  <si>
    <t>Quantidade Fundo Primer</t>
  </si>
  <si>
    <t>Quantidade Tinta PU</t>
  </si>
  <si>
    <t>Botões do Menu Principal Ordenados</t>
  </si>
  <si>
    <t>Conversão Diâmetro x Perímetro</t>
  </si>
  <si>
    <t>Conversão mm x in &lt;&gt; in x mm</t>
  </si>
  <si>
    <t>Corte Laser 2D</t>
  </si>
  <si>
    <t>Desenvolvimento de Tubos Raio Médio</t>
  </si>
  <si>
    <t>Peso Barra Quadrada</t>
  </si>
  <si>
    <t>Peso Barra Redonda</t>
  </si>
  <si>
    <t>Peso Barra Sextavada</t>
  </si>
  <si>
    <t>Peso Chapa Circular</t>
  </si>
  <si>
    <t>Peso Chapas Plásticas</t>
  </si>
  <si>
    <t>Peso Plástico Bolha</t>
  </si>
  <si>
    <t>Peso Sobra de Tubos</t>
  </si>
  <si>
    <t>Peso Tubo Quadrado</t>
  </si>
  <si>
    <t>Peso Tubo Redondo</t>
  </si>
  <si>
    <t>Peso Tubo Retangular</t>
  </si>
  <si>
    <t>Plásticos Custo M.O.</t>
  </si>
  <si>
    <t>Quantidade Pó Pintura Pó</t>
  </si>
  <si>
    <t>Quantidade Tinta Pintura Pistola</t>
  </si>
  <si>
    <t>Quantidade Tinta Túnel de Pintura</t>
  </si>
  <si>
    <t>Tempo Pintura Pistola</t>
  </si>
  <si>
    <t>Tempo Túnel de Pintura</t>
  </si>
  <si>
    <t>Volume Recipientes</t>
  </si>
  <si>
    <t xml:space="preserve">Conversão Tempos EMS </t>
  </si>
  <si>
    <t>Hora</t>
  </si>
  <si>
    <t>Minutos Hora</t>
  </si>
  <si>
    <t>Segundos</t>
  </si>
  <si>
    <t>EMS</t>
  </si>
  <si>
    <t>Tempo                                        EMS</t>
  </si>
  <si>
    <t>Horas</t>
  </si>
  <si>
    <t>Minutos</t>
  </si>
  <si>
    <t>Total</t>
  </si>
  <si>
    <t>Minutos Minutos</t>
  </si>
  <si>
    <t>EMS                                       Tempo</t>
  </si>
  <si>
    <t>Tempo</t>
  </si>
  <si>
    <t>Soma minutos</t>
  </si>
  <si>
    <t>truncado</t>
  </si>
  <si>
    <t>Cálculo para Quantidade de Tinta Utilizada na Pintura a Pó</t>
  </si>
  <si>
    <t>Pintura pistola</t>
  </si>
  <si>
    <t>Peças Circulares</t>
  </si>
  <si>
    <t>Cálculo para Peso de Vigas "T" (Padrão Comercial)</t>
  </si>
  <si>
    <t>Cálculo para Peso de Vigas "T" (Manual)</t>
  </si>
  <si>
    <t>Bitola</t>
  </si>
  <si>
    <t>Peso Linear</t>
  </si>
  <si>
    <t>Polegadas</t>
  </si>
  <si>
    <t>kg</t>
  </si>
  <si>
    <t>x</t>
  </si>
  <si>
    <t>Largura (A)</t>
  </si>
  <si>
    <t>Altura (B)</t>
  </si>
  <si>
    <t>Espessura (E)</t>
  </si>
  <si>
    <t>Peso*</t>
  </si>
  <si>
    <t>*Aproximado, pois varia por fabricante.</t>
  </si>
  <si>
    <t>Cálculo para Peso de Vigas "U" (Padrão Comercial)</t>
  </si>
  <si>
    <t>Cálculo para Peso de Vigas "U" (Manual)</t>
  </si>
  <si>
    <t>Alma</t>
  </si>
  <si>
    <t>Tamanho Nominal</t>
  </si>
  <si>
    <t>Espessura da Alma</t>
  </si>
  <si>
    <t>Polegada</t>
  </si>
  <si>
    <t>kg/m</t>
  </si>
  <si>
    <t>Largura aba (a)</t>
  </si>
  <si>
    <t>Altura (h)</t>
  </si>
  <si>
    <t>Espessura (e)</t>
  </si>
  <si>
    <t>Cálculo para Peso de Vigas "I" (Padrão Comercial)</t>
  </si>
  <si>
    <t>Cálculo para Peso de Vigas "I" (Manual)</t>
  </si>
  <si>
    <t>Largura abas (a)</t>
  </si>
  <si>
    <t>Cálculo para Peso de Cantoneiras</t>
  </si>
  <si>
    <t>Largura aba (A)</t>
  </si>
  <si>
    <t>Largura aba (B)</t>
  </si>
  <si>
    <t>Cálculo para o Desenvolvimento de Chapas Dobradas</t>
  </si>
  <si>
    <t>Arco (ângulo)</t>
  </si>
  <si>
    <t>a</t>
  </si>
  <si>
    <t>b</t>
  </si>
  <si>
    <t>Coeficiente</t>
  </si>
  <si>
    <t>Dobra (raio)</t>
  </si>
  <si>
    <t>Selecione o Coeficiente de Acordo Com as Condições Abaixo:</t>
  </si>
  <si>
    <t>Comprimento Necessário de Chapa para a Dobra:</t>
  </si>
  <si>
    <t>Peso Perfil T</t>
  </si>
  <si>
    <t>Peso Perfil U</t>
  </si>
  <si>
    <t>Peso Perfil I</t>
  </si>
  <si>
    <t>Peso Cantoneira</t>
  </si>
  <si>
    <t>Desenvolvimento de Chapas</t>
  </si>
  <si>
    <t>Cálculo de Peso para Barras Sextavadas Conforme Diâmetro</t>
  </si>
  <si>
    <t>Tempo EMS Conversões</t>
  </si>
  <si>
    <t>Cálculo para Peso de Ferro Chato</t>
  </si>
  <si>
    <t>Bitola (polegadas)</t>
  </si>
  <si>
    <t>Conversão</t>
  </si>
  <si>
    <t>Resultado planilha peso de tubos:</t>
  </si>
  <si>
    <t>Ferro Chato</t>
  </si>
  <si>
    <t>Peças</t>
  </si>
  <si>
    <t>Cálculo para Aproveitamento e Tempo de Guilhotina em Peças Planas de Chapa de Aço)</t>
  </si>
  <si>
    <t>Blanck A Ser Cortado</t>
  </si>
  <si>
    <t>Peças Total</t>
  </si>
  <si>
    <t>Tempo Para Cortar Chapa Em Tira:</t>
  </si>
  <si>
    <t>Selecione a Guilhotina:</t>
  </si>
  <si>
    <t>301-003 &gt; GUILHOTINA MEC.</t>
  </si>
  <si>
    <t>Número de operadores:</t>
  </si>
  <si>
    <t>min</t>
  </si>
  <si>
    <t>Tempo Para Cortar Tira Em Peça:</t>
  </si>
  <si>
    <t>Resumo para uso nas observações dos orçamentos:</t>
  </si>
  <si>
    <t xml:space="preserve"> </t>
  </si>
  <si>
    <t xml:space="preserve"> mm</t>
  </si>
  <si>
    <t xml:space="preserve"> x </t>
  </si>
  <si>
    <t xml:space="preserve"> min. </t>
  </si>
  <si>
    <t xml:space="preserve"> com tempo de corte de </t>
  </si>
  <si>
    <t xml:space="preserve">por tira com o uso de </t>
  </si>
  <si>
    <t>.</t>
  </si>
  <si>
    <t xml:space="preserve">Nesta peça foi adotado o blanck otimizado de: </t>
  </si>
  <si>
    <t>Condicional</t>
  </si>
  <si>
    <t xml:space="preserve"> operador(es) no grupo máquina </t>
  </si>
  <si>
    <t>PESO PEÇA</t>
  </si>
  <si>
    <t>TOTAL PEÇAS</t>
  </si>
  <si>
    <t>nº peças</t>
  </si>
  <si>
    <t>QUANT. DE TIRAS POR CHAPA</t>
  </si>
  <si>
    <t>QUANT.  DE PEÇAS POR TIRA</t>
  </si>
  <si>
    <t>QUANT. DE PEÇAS POR TIRA</t>
  </si>
  <si>
    <t>Aproveitamento Chapas e Guilhotina</t>
  </si>
  <si>
    <t>Tipos de Material</t>
  </si>
  <si>
    <t>Aço Carbono</t>
  </si>
  <si>
    <t>Alumínio</t>
  </si>
  <si>
    <t>Borracha Natural</t>
  </si>
  <si>
    <t>Bronze</t>
  </si>
  <si>
    <t>Cobre</t>
  </si>
  <si>
    <t>Latão</t>
  </si>
  <si>
    <t>Níquel</t>
  </si>
  <si>
    <t>Titânio</t>
  </si>
  <si>
    <t>Aço Inox</t>
  </si>
  <si>
    <t>PROPORÇÃO PARA TINTA PRETA ALTA TEMPERATURA</t>
  </si>
  <si>
    <t>PROPORÇÃO PARA TINTA ALUMÍNIO ALTA ADERÊNCIA</t>
  </si>
  <si>
    <t>REDUTOR ACABAMENTO V9999</t>
  </si>
  <si>
    <t>TINTA PRETA ALTA TEMPERATURA</t>
  </si>
  <si>
    <t>Tempo Estimado de Corte</t>
  </si>
  <si>
    <t>Perímetro dos Furos</t>
  </si>
  <si>
    <t>Perímetro de Corte</t>
  </si>
  <si>
    <t>Tempo estimado perfuração da chapa</t>
  </si>
  <si>
    <t>Comprimento da Peça</t>
  </si>
  <si>
    <t>Largura da Peça</t>
  </si>
  <si>
    <t>Diâmetro dos Furos</t>
  </si>
  <si>
    <t>Número de Furos</t>
  </si>
  <si>
    <t>Milímetros por Minuto</t>
  </si>
  <si>
    <t>Quant. gancheiras utilizadas</t>
  </si>
  <si>
    <t>COR VERMELHA</t>
  </si>
  <si>
    <t>COR PRETA</t>
  </si>
  <si>
    <t>LAVAGEM PEÇAS</t>
  </si>
  <si>
    <t>Parâmetros:</t>
  </si>
  <si>
    <t>m. tamanho correia</t>
  </si>
  <si>
    <t>ganchos   (300mm espaçamento)</t>
  </si>
  <si>
    <t>metros / min.  Cor Vermelho</t>
  </si>
  <si>
    <t>metros / min.  Cor preto</t>
  </si>
  <si>
    <t>velocidade vermelho = 2m/m  (87min)</t>
  </si>
  <si>
    <t>velocidade preto = 1,7m/m   (103 min)</t>
  </si>
  <si>
    <t>número de homens: 2</t>
  </si>
  <si>
    <t>DESCRIÇÃO DA NARRATIVA DA OPERAÇÃO - EMS</t>
  </si>
  <si>
    <t>QUANT. GANCHEIRAS UTILIZADAS:</t>
  </si>
  <si>
    <t>Quantidade de Pó             1 lado</t>
  </si>
  <si>
    <t>Quantidade de Pó     1 lado</t>
  </si>
  <si>
    <r>
      <t xml:space="preserve">Quantidade de Pó    </t>
    </r>
    <r>
      <rPr>
        <b/>
        <sz val="12"/>
        <rFont val="Calibri"/>
        <family val="2"/>
      </rPr>
      <t xml:space="preserve"> 2 lados</t>
    </r>
  </si>
  <si>
    <r>
      <t xml:space="preserve">Quantidade de Pó          </t>
    </r>
    <r>
      <rPr>
        <b/>
        <sz val="12"/>
        <rFont val="Calibri"/>
        <family val="2"/>
      </rPr>
      <t xml:space="preserve">   2 lados</t>
    </r>
  </si>
  <si>
    <t>PEÇA PLANA</t>
  </si>
  <si>
    <t>M²/KG</t>
  </si>
  <si>
    <t>Quantidade (litros)</t>
  </si>
  <si>
    <t>EXEMPLO:</t>
  </si>
  <si>
    <t>G:\Engenharia\EQUIPE DA ENGª\MAICON PASQUALI\BOLETIM TINTAS</t>
  </si>
  <si>
    <t>micras</t>
  </si>
  <si>
    <t>Camada da tinta seca</t>
  </si>
  <si>
    <t>Rendimento</t>
  </si>
  <si>
    <t>m² / l</t>
  </si>
  <si>
    <t>perda no processo</t>
  </si>
  <si>
    <t>total</t>
  </si>
  <si>
    <t>calculo</t>
  </si>
  <si>
    <t>área</t>
  </si>
  <si>
    <t>total tinta 2 lados</t>
  </si>
  <si>
    <t>m²/l</t>
  </si>
  <si>
    <t>redução 20% agua   (+/-)</t>
  </si>
  <si>
    <r>
      <t xml:space="preserve">Obs.: </t>
    </r>
    <r>
      <rPr>
        <b/>
        <sz val="14"/>
        <color indexed="10"/>
        <rFont val="Calibri"/>
        <family val="2"/>
      </rPr>
      <t>P/ 2 lados da peça</t>
    </r>
  </si>
  <si>
    <t>Passos</t>
  </si>
  <si>
    <r>
      <rPr>
        <b/>
        <sz val="11"/>
        <color theme="1"/>
        <rFont val="Calibri"/>
        <family val="2"/>
        <scheme val="minor"/>
      </rPr>
      <t>1º Passo:</t>
    </r>
    <r>
      <rPr>
        <sz val="11"/>
        <color theme="1"/>
        <rFont val="Calibri"/>
        <family val="2"/>
        <scheme val="minor"/>
      </rPr>
      <t xml:space="preserve"> Preencher dados do tipo de chapa a ser utilizada como espessura, largura e comprimento.</t>
    </r>
  </si>
  <si>
    <r>
      <t xml:space="preserve">2º Passo: </t>
    </r>
    <r>
      <rPr>
        <sz val="11"/>
        <color theme="1"/>
        <rFont val="Calibri"/>
        <family val="2"/>
        <scheme val="minor"/>
      </rPr>
      <t xml:space="preserve">Preencher a largura e comprimento da peça no </t>
    </r>
    <r>
      <rPr>
        <u/>
        <sz val="11"/>
        <color theme="1"/>
        <rFont val="Calibri"/>
        <family val="2"/>
        <scheme val="minor"/>
      </rPr>
      <t>modelo 1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</si>
  <si>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3º Passo:</t>
    </r>
    <r>
      <rPr>
        <sz val="11"/>
        <color theme="1"/>
        <rFont val="Calibri"/>
        <family val="2"/>
        <scheme val="minor"/>
      </rPr>
      <t xml:space="preserve"> Preencher a quantidade de peças que saem no blanck, por exemplo 2 peças por blanck (D/E).</t>
    </r>
  </si>
  <si>
    <r>
      <rPr>
        <b/>
        <sz val="11"/>
        <color theme="1"/>
        <rFont val="Calibri"/>
        <family val="2"/>
        <scheme val="minor"/>
      </rPr>
      <t>4º Passo:</t>
    </r>
    <r>
      <rPr>
        <sz val="11"/>
        <color theme="1"/>
        <rFont val="Calibri"/>
        <family val="2"/>
        <scheme val="minor"/>
      </rPr>
      <t xml:space="preserve"> Verifique qual aproveitamento é o melhor. Indicado por "É ESSE".</t>
    </r>
  </si>
  <si>
    <r>
      <rPr>
        <b/>
        <sz val="11"/>
        <color theme="1"/>
        <rFont val="Calibri"/>
        <family val="2"/>
        <scheme val="minor"/>
      </rPr>
      <t xml:space="preserve">5º Passo: </t>
    </r>
    <r>
      <rPr>
        <sz val="11"/>
        <color theme="1"/>
        <rFont val="Calibri"/>
        <family val="2"/>
        <scheme val="minor"/>
      </rPr>
      <t>Selecione a Guilhotina que será utilizada no processo. O número de operadores é definido automaticamente.</t>
    </r>
  </si>
  <si>
    <r>
      <rPr>
        <b/>
        <sz val="11"/>
        <color theme="1"/>
        <rFont val="Calibri"/>
        <family val="2"/>
        <scheme val="minor"/>
      </rPr>
      <t>6º Passo:</t>
    </r>
    <r>
      <rPr>
        <sz val="11"/>
        <color theme="1"/>
        <rFont val="Calibri"/>
        <family val="2"/>
        <scheme val="minor"/>
      </rPr>
      <t xml:space="preserve"> Verifique o peso e retalho e os tempos de corte. Se for orçamento copie para as observações o campo final da planilha que é preenchido de forma automática.</t>
    </r>
  </si>
  <si>
    <t>FATOR K</t>
  </si>
  <si>
    <t>Fator K</t>
  </si>
  <si>
    <t>QTD PEÇAS POR SLITER</t>
  </si>
  <si>
    <t>PESO PEÇA (kg)</t>
  </si>
  <si>
    <t>N° de sliters</t>
  </si>
  <si>
    <t>QTD PEÇAS POR BOBINA</t>
  </si>
  <si>
    <t>Comprimento bobina (mm)</t>
  </si>
  <si>
    <t>ABS</t>
  </si>
  <si>
    <t>PEAD</t>
  </si>
  <si>
    <t>,</t>
  </si>
  <si>
    <t>Corte Laser 3D</t>
  </si>
  <si>
    <t>ESPESSURA</t>
  </si>
  <si>
    <t>MICRONS</t>
  </si>
  <si>
    <t>PESO ESPECÍFICO</t>
  </si>
  <si>
    <t>G/CM3</t>
  </si>
  <si>
    <t>Número de Oblongo</t>
  </si>
  <si>
    <t>Comprimento do Oblongo (sem os raios)</t>
  </si>
  <si>
    <t>Raio dos semicírculos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</si>
</sst>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0.00\ &quot;mm&quot;"/>
    <numFmt numFmtId="167" formatCode="#\ ?/?\ &quot;in&quot;"/>
    <numFmt numFmtId="168" formatCode="0\ &quot;mm&quot;"/>
    <numFmt numFmtId="169" formatCode="0.000\ &quot;kg&quot;"/>
    <numFmt numFmtId="170" formatCode="0.0000"/>
    <numFmt numFmtId="171" formatCode="General\ &quot;mm&quot;"/>
    <numFmt numFmtId="172" formatCode="_(* #,##0.000_);_(* \(#,##0.000\);_(* &quot;-&quot;??_);_(@_)"/>
    <numFmt numFmtId="173" formatCode="0.000"/>
    <numFmt numFmtId="174" formatCode="_(* #,##0_);_(* \(#,##0\);_(* &quot;-&quot;??_);_(@_)"/>
    <numFmt numFmtId="175" formatCode="General\ &quot;peças&quot;"/>
    <numFmt numFmtId="176" formatCode="0.000\ &quot;peça&quot;"/>
    <numFmt numFmtId="177" formatCode="General\ &quot;kg&quot;"/>
    <numFmt numFmtId="178" formatCode="00.00\ &quot;mm&quot;"/>
    <numFmt numFmtId="179" formatCode="0.00000000000"/>
    <numFmt numFmtId="180" formatCode="0.0000\ &quot;kg&quot;"/>
    <numFmt numFmtId="181" formatCode="General\ &quot;m²&quot;"/>
    <numFmt numFmtId="182" formatCode="00000\ &quot;mm&quot;"/>
    <numFmt numFmtId="183" formatCode="General\ &quot;m³&quot;"/>
    <numFmt numFmtId="184" formatCode="General\ &quot;L&quot;"/>
    <numFmt numFmtId="185" formatCode="0.00000"/>
    <numFmt numFmtId="186" formatCode="General\ &quot;mm²&quot;"/>
    <numFmt numFmtId="187" formatCode="General\ &quot;min.&quot;"/>
    <numFmt numFmtId="188" formatCode="0.0"/>
    <numFmt numFmtId="189" formatCode="0.000000\ &quot;L&quot;"/>
    <numFmt numFmtId="190" formatCode="&quot;R$ &quot;#,##0.00;[Red]&quot;R$ &quot;#,##0.00"/>
    <numFmt numFmtId="191" formatCode="General\ &quot;mL&quot;"/>
    <numFmt numFmtId="192" formatCode="0\ª"/>
    <numFmt numFmtId="193" formatCode="#\ ???/???"/>
    <numFmt numFmtId="194" formatCode="General&quot;º&quot;"/>
    <numFmt numFmtId="195" formatCode="General\ &quot;mm    x&quot;"/>
    <numFmt numFmtId="196" formatCode="General\ &quot;minutos&quot;"/>
    <numFmt numFmtId="197" formatCode="General\ &quot;segundos&quot;"/>
    <numFmt numFmtId="198" formatCode="General\ &quot;mm/min.&quot;"/>
    <numFmt numFmtId="199" formatCode="#\ ??/16"/>
    <numFmt numFmtId="200" formatCode="#,##0.0000"/>
  </numFmts>
  <fonts count="156" x14ac:knownFonts="1">
    <font>
      <sz val="11"/>
      <color theme="1"/>
      <name val="Calibri"/>
      <family val="2"/>
      <scheme val="minor"/>
    </font>
    <font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color indexed="9"/>
      <name val="Verdana"/>
      <family val="2"/>
    </font>
    <font>
      <sz val="20"/>
      <name val="Verdana"/>
      <family val="2"/>
    </font>
    <font>
      <sz val="18"/>
      <color indexed="9"/>
      <name val="Verdana"/>
      <family val="2"/>
    </font>
    <font>
      <b/>
      <sz val="14"/>
      <name val="Verdana"/>
      <family val="2"/>
    </font>
    <font>
      <sz val="9"/>
      <name val="Verdana"/>
      <family val="2"/>
    </font>
    <font>
      <b/>
      <sz val="12"/>
      <name val="Calibri"/>
      <family val="2"/>
    </font>
    <font>
      <b/>
      <sz val="14"/>
      <name val="Arial"/>
      <family val="2"/>
    </font>
    <font>
      <sz val="14"/>
      <color indexed="10"/>
      <name val="Arial"/>
      <family val="2"/>
    </font>
    <font>
      <sz val="14"/>
      <name val="Arial"/>
      <family val="2"/>
    </font>
    <font>
      <sz val="16"/>
      <name val="Arial"/>
      <family val="2"/>
    </font>
    <font>
      <sz val="13.5"/>
      <name val="Verdana"/>
      <family val="2"/>
    </font>
    <font>
      <sz val="12"/>
      <color indexed="48"/>
      <name val="Arial"/>
      <family val="2"/>
    </font>
    <font>
      <sz val="10"/>
      <color indexed="48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2"/>
      <color indexed="9"/>
      <name val="Calibri"/>
      <family val="2"/>
    </font>
    <font>
      <b/>
      <sz val="11"/>
      <color indexed="9"/>
      <name val="Calibri"/>
      <family val="2"/>
    </font>
    <font>
      <sz val="12"/>
      <color indexed="9"/>
      <name val="Calibri"/>
      <family val="2"/>
    </font>
    <font>
      <b/>
      <sz val="14"/>
      <color indexed="8"/>
      <name val="Calibri"/>
      <family val="2"/>
    </font>
    <font>
      <sz val="12"/>
      <name val="Arial"/>
      <family val="2"/>
    </font>
    <font>
      <sz val="14"/>
      <color indexed="12"/>
      <name val="Arial"/>
      <family val="2"/>
    </font>
    <font>
      <sz val="14"/>
      <color indexed="12"/>
      <name val="Symbol"/>
      <family val="1"/>
      <charset val="2"/>
    </font>
    <font>
      <sz val="10"/>
      <color indexed="63"/>
      <name val="Arial"/>
      <family val="2"/>
    </font>
    <font>
      <sz val="10"/>
      <color indexed="12"/>
      <name val="Symbol"/>
      <family val="1"/>
      <charset val="2"/>
    </font>
    <font>
      <sz val="26"/>
      <name val="Arial"/>
      <family val="2"/>
    </font>
    <font>
      <b/>
      <sz val="14"/>
      <color indexed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Verdana"/>
      <family val="2"/>
    </font>
    <font>
      <b/>
      <sz val="14"/>
      <color theme="0"/>
      <name val="Verdana"/>
      <family val="2"/>
    </font>
    <font>
      <b/>
      <sz val="22"/>
      <color theme="1"/>
      <name val="Tahoma"/>
      <family val="2"/>
    </font>
    <font>
      <b/>
      <sz val="11"/>
      <color theme="0"/>
      <name val="Verdana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6" tint="0.59999389629810485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0"/>
      <name val="Verdana"/>
      <family val="2"/>
    </font>
    <font>
      <b/>
      <sz val="12"/>
      <color theme="0"/>
      <name val="Verdana"/>
      <family val="2"/>
    </font>
    <font>
      <b/>
      <sz val="11"/>
      <color theme="0"/>
      <name val="Calibri"/>
      <family val="2"/>
      <scheme val="minor"/>
    </font>
    <font>
      <sz val="13.5"/>
      <color rgb="FF0000FF"/>
      <name val="Verdana"/>
      <family val="2"/>
    </font>
    <font>
      <sz val="13.5"/>
      <color rgb="FF00B050"/>
      <name val="Verdana"/>
      <family val="2"/>
    </font>
    <font>
      <i/>
      <sz val="13.5"/>
      <color rgb="FF00B050"/>
      <name val="Verdana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3.5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indexed="25"/>
      <name val="Calibri"/>
      <family val="2"/>
      <scheme val="minor"/>
    </font>
    <font>
      <sz val="11"/>
      <color indexed="25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14"/>
      <color indexed="53"/>
      <name val="Calibri"/>
      <family val="2"/>
      <scheme val="minor"/>
    </font>
    <font>
      <b/>
      <sz val="11"/>
      <color indexed="60"/>
      <name val="Calibri"/>
      <family val="2"/>
      <scheme val="minor"/>
    </font>
    <font>
      <b/>
      <sz val="12"/>
      <color indexed="12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4"/>
      <color indexed="1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Verdana"/>
      <family val="2"/>
    </font>
    <font>
      <b/>
      <sz val="18"/>
      <color indexed="10"/>
      <name val="Calibri"/>
      <family val="2"/>
      <scheme val="minor"/>
    </font>
    <font>
      <b/>
      <sz val="16"/>
      <color indexed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name val="Calibri"/>
      <family val="2"/>
      <scheme val="minor"/>
    </font>
    <font>
      <sz val="14"/>
      <color theme="4" tint="0.79998168889431442"/>
      <name val="Calibri"/>
      <family val="2"/>
      <scheme val="minor"/>
    </font>
    <font>
      <b/>
      <sz val="10"/>
      <color theme="0" tint="-4.9989318521683403E-2"/>
      <name val="Verdana"/>
      <family val="2"/>
    </font>
    <font>
      <sz val="10"/>
      <color theme="0"/>
      <name val="Verdana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4"/>
      <color theme="6" tint="0.79998168889431442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Verdana"/>
      <family val="2"/>
    </font>
    <font>
      <sz val="18"/>
      <color theme="3" tint="-0.249977111117893"/>
      <name val="Verdana"/>
      <family val="2"/>
    </font>
    <font>
      <sz val="12"/>
      <color theme="1"/>
      <name val="Calibri"/>
      <family val="2"/>
      <scheme val="minor"/>
    </font>
    <font>
      <b/>
      <sz val="20"/>
      <color theme="6" tint="0.79998168889431442"/>
      <name val="Calibri"/>
      <family val="2"/>
      <scheme val="minor"/>
    </font>
    <font>
      <b/>
      <sz val="16"/>
      <color theme="4" tint="0.79998168889431442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b/>
      <sz val="10"/>
      <color theme="4" tint="0.79998168889431442"/>
      <name val="Calibri"/>
      <family val="2"/>
      <scheme val="minor"/>
    </font>
    <font>
      <sz val="14"/>
      <color indexed="55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theme="6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10"/>
      <color theme="0"/>
      <name val="Tahoma"/>
      <family val="2"/>
    </font>
    <font>
      <b/>
      <sz val="13.5"/>
      <color theme="0"/>
      <name val="Calibri"/>
      <family val="2"/>
      <scheme val="minor"/>
    </font>
    <font>
      <sz val="11"/>
      <color indexed="10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8"/>
      <color indexed="60"/>
      <name val="Calibri"/>
      <family val="2"/>
      <scheme val="minor"/>
    </font>
    <font>
      <sz val="14"/>
      <color indexed="10"/>
      <name val="Calibri"/>
      <family val="2"/>
      <scheme val="minor"/>
    </font>
    <font>
      <u/>
      <sz val="20"/>
      <color indexed="10"/>
      <name val="Calibri"/>
      <family val="2"/>
      <scheme val="minor"/>
    </font>
    <font>
      <sz val="8"/>
      <color indexed="23"/>
      <name val="Calibri"/>
      <family val="2"/>
      <scheme val="minor"/>
    </font>
    <font>
      <b/>
      <u/>
      <sz val="14"/>
      <color indexed="10"/>
      <name val="Calibri"/>
      <family val="2"/>
      <scheme val="minor"/>
    </font>
    <font>
      <b/>
      <sz val="8"/>
      <color indexed="13"/>
      <name val="Calibri"/>
      <family val="2"/>
      <scheme val="minor"/>
    </font>
    <font>
      <sz val="14"/>
      <color indexed="12"/>
      <name val="Calibri"/>
      <family val="2"/>
      <scheme val="minor"/>
    </font>
    <font>
      <sz val="10"/>
      <color indexed="18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indexed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indexed="48"/>
      <name val="Calibri"/>
      <family val="2"/>
      <scheme val="minor"/>
    </font>
    <font>
      <sz val="10"/>
      <color indexed="12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4"/>
      <color theme="0" tint="-0.14999847407452621"/>
      <name val="Calibri"/>
      <family val="2"/>
      <scheme val="minor"/>
    </font>
    <font>
      <b/>
      <sz val="8"/>
      <color theme="3" tint="-0.249977111117893"/>
      <name val="Calibri"/>
      <family val="2"/>
      <scheme val="minor"/>
    </font>
    <font>
      <sz val="20"/>
      <color theme="4" tint="0.79998168889431442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b/>
      <sz val="12"/>
      <color theme="4" tint="0.79998168889431442"/>
      <name val="Calibri"/>
      <family val="2"/>
      <scheme val="minor"/>
    </font>
    <font>
      <b/>
      <sz val="9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11"/>
        <bgColor indexed="49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18"/>
        <bgColor indexed="32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41"/>
      </patternFill>
    </fill>
    <fill>
      <patternFill patternType="solid">
        <fgColor theme="0" tint="-0.249977111117893"/>
        <bgColor indexed="22"/>
      </patternFill>
    </fill>
    <fill>
      <patternFill patternType="solid">
        <fgColor theme="4" tint="-0.249977111117893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3" tint="-0.499984740745262"/>
        <bgColor indexed="32"/>
      </patternFill>
    </fill>
    <fill>
      <patternFill patternType="solid">
        <fgColor theme="4" tint="-0.249977111117893"/>
        <bgColor indexed="26"/>
      </patternFill>
    </fill>
    <fill>
      <patternFill patternType="solid">
        <fgColor theme="4" tint="0.39997558519241921"/>
        <bgColor indexed="26"/>
      </patternFill>
    </fill>
    <fill>
      <patternFill patternType="solid">
        <fgColor theme="4" tint="0.39997558519241921"/>
        <bgColor indexed="41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27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1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</borders>
  <cellStyleXfs count="15"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25" fillId="0" borderId="0"/>
    <xf numFmtId="0" fontId="7" fillId="0" borderId="0"/>
    <xf numFmtId="0" fontId="7" fillId="0" borderId="0"/>
    <xf numFmtId="0" fontId="41" fillId="0" borderId="0"/>
    <xf numFmtId="0" fontId="41" fillId="0" borderId="0"/>
    <xf numFmtId="0" fontId="41" fillId="0" borderId="0"/>
    <xf numFmtId="9" fontId="7" fillId="0" borderId="0" applyFont="0" applyFill="0" applyBorder="0" applyAlignment="0" applyProtection="0"/>
    <xf numFmtId="165" fontId="41" fillId="0" borderId="0" applyFont="0" applyFill="0" applyBorder="0" applyAlignment="0" applyProtection="0"/>
  </cellStyleXfs>
  <cellXfs count="1023">
    <xf numFmtId="0" fontId="0" fillId="0" borderId="0" xfId="0"/>
    <xf numFmtId="0" fontId="0" fillId="16" borderId="1" xfId="0" applyFill="1" applyBorder="1"/>
    <xf numFmtId="0" fontId="0" fillId="16" borderId="2" xfId="0" applyFill="1" applyBorder="1"/>
    <xf numFmtId="0" fontId="0" fillId="16" borderId="3" xfId="0" applyFill="1" applyBorder="1"/>
    <xf numFmtId="0" fontId="0" fillId="16" borderId="4" xfId="0" applyFill="1" applyBorder="1"/>
    <xf numFmtId="0" fontId="0" fillId="16" borderId="0" xfId="0" applyFill="1"/>
    <xf numFmtId="0" fontId="0" fillId="16" borderId="5" xfId="0" applyFill="1" applyBorder="1"/>
    <xf numFmtId="0" fontId="44" fillId="16" borderId="0" xfId="0" applyFont="1" applyFill="1"/>
    <xf numFmtId="0" fontId="44" fillId="16" borderId="0" xfId="0" applyFont="1" applyFill="1" applyAlignment="1">
      <alignment horizontal="center"/>
    </xf>
    <xf numFmtId="0" fontId="0" fillId="16" borderId="6" xfId="0" applyFill="1" applyBorder="1"/>
    <xf numFmtId="0" fontId="0" fillId="16" borderId="7" xfId="0" applyFill="1" applyBorder="1"/>
    <xf numFmtId="0" fontId="0" fillId="16" borderId="8" xfId="0" applyFill="1" applyBorder="1"/>
    <xf numFmtId="0" fontId="0" fillId="17" borderId="1" xfId="0" applyFill="1" applyBorder="1"/>
    <xf numFmtId="0" fontId="0" fillId="17" borderId="2" xfId="0" applyFill="1" applyBorder="1"/>
    <xf numFmtId="0" fontId="0" fillId="17" borderId="3" xfId="0" applyFill="1" applyBorder="1"/>
    <xf numFmtId="0" fontId="0" fillId="17" borderId="4" xfId="0" applyFill="1" applyBorder="1"/>
    <xf numFmtId="0" fontId="0" fillId="17" borderId="0" xfId="0" applyFill="1"/>
    <xf numFmtId="0" fontId="0" fillId="17" borderId="5" xfId="0" applyFill="1" applyBorder="1"/>
    <xf numFmtId="0" fontId="44" fillId="17" borderId="0" xfId="0" applyFont="1" applyFill="1" applyAlignment="1">
      <alignment horizontal="center"/>
    </xf>
    <xf numFmtId="0" fontId="0" fillId="17" borderId="7" xfId="0" applyFill="1" applyBorder="1"/>
    <xf numFmtId="0" fontId="0" fillId="17" borderId="8" xfId="0" applyFill="1" applyBorder="1"/>
    <xf numFmtId="0" fontId="45" fillId="0" borderId="0" xfId="0" applyFont="1" applyAlignment="1">
      <alignment horizontal="center"/>
    </xf>
    <xf numFmtId="0" fontId="45" fillId="0" borderId="0" xfId="0" applyFont="1"/>
    <xf numFmtId="0" fontId="46" fillId="17" borderId="4" xfId="0" applyFont="1" applyFill="1" applyBorder="1"/>
    <xf numFmtId="0" fontId="46" fillId="17" borderId="7" xfId="0" applyFont="1" applyFill="1" applyBorder="1"/>
    <xf numFmtId="0" fontId="46" fillId="17" borderId="6" xfId="0" applyFont="1" applyFill="1" applyBorder="1"/>
    <xf numFmtId="0" fontId="46" fillId="17" borderId="0" xfId="0" applyFont="1" applyFill="1"/>
    <xf numFmtId="0" fontId="1" fillId="18" borderId="0" xfId="0" applyFont="1" applyFill="1"/>
    <xf numFmtId="0" fontId="0" fillId="18" borderId="0" xfId="0" applyFill="1"/>
    <xf numFmtId="166" fontId="1" fillId="0" borderId="9" xfId="0" applyNumberFormat="1" applyFont="1" applyBorder="1" applyAlignment="1" applyProtection="1">
      <alignment horizontal="center"/>
      <protection locked="0"/>
    </xf>
    <xf numFmtId="166" fontId="1" fillId="0" borderId="10" xfId="0" applyNumberFormat="1" applyFont="1" applyBorder="1" applyAlignment="1" applyProtection="1">
      <alignment horizontal="center"/>
      <protection locked="0"/>
    </xf>
    <xf numFmtId="168" fontId="1" fillId="0" borderId="10" xfId="0" applyNumberFormat="1" applyFont="1" applyBorder="1" applyAlignment="1" applyProtection="1">
      <alignment horizontal="center"/>
      <protection locked="0"/>
    </xf>
    <xf numFmtId="0" fontId="1" fillId="18" borderId="0" xfId="0" applyFont="1" applyFill="1" applyAlignment="1">
      <alignment horizontal="center"/>
    </xf>
    <xf numFmtId="0" fontId="47" fillId="19" borderId="0" xfId="0" applyFont="1" applyFill="1" applyAlignment="1" applyProtection="1">
      <alignment horizontal="center"/>
      <protection locked="0"/>
    </xf>
    <xf numFmtId="0" fontId="47" fillId="20" borderId="0" xfId="0" applyFont="1" applyFill="1" applyAlignment="1" applyProtection="1">
      <alignment horizontal="center"/>
      <protection locked="0"/>
    </xf>
    <xf numFmtId="170" fontId="1" fillId="18" borderId="0" xfId="0" applyNumberFormat="1" applyFont="1" applyFill="1" applyAlignment="1">
      <alignment horizontal="center"/>
    </xf>
    <xf numFmtId="0" fontId="1" fillId="21" borderId="11" xfId="0" applyFont="1" applyFill="1" applyBorder="1" applyAlignment="1" applyProtection="1">
      <alignment horizontal="center"/>
      <protection locked="0"/>
    </xf>
    <xf numFmtId="0" fontId="1" fillId="21" borderId="12" xfId="0" applyFont="1" applyFill="1" applyBorder="1" applyAlignment="1" applyProtection="1">
      <alignment horizontal="center"/>
      <protection locked="0"/>
    </xf>
    <xf numFmtId="0" fontId="1" fillId="21" borderId="13" xfId="0" applyFont="1" applyFill="1" applyBorder="1" applyAlignment="1" applyProtection="1">
      <alignment horizontal="center"/>
      <protection locked="0"/>
    </xf>
    <xf numFmtId="0" fontId="2" fillId="18" borderId="0" xfId="0" applyFont="1" applyFill="1"/>
    <xf numFmtId="0" fontId="48" fillId="18" borderId="0" xfId="0" applyFont="1" applyFill="1"/>
    <xf numFmtId="171" fontId="1" fillId="18" borderId="0" xfId="0" applyNumberFormat="1" applyFont="1" applyFill="1"/>
    <xf numFmtId="169" fontId="48" fillId="18" borderId="0" xfId="0" applyNumberFormat="1" applyFont="1" applyFill="1"/>
    <xf numFmtId="171" fontId="1" fillId="0" borderId="14" xfId="0" applyNumberFormat="1" applyFont="1" applyBorder="1" applyAlignment="1" applyProtection="1">
      <alignment horizontal="center"/>
      <protection locked="0"/>
    </xf>
    <xf numFmtId="169" fontId="1" fillId="0" borderId="15" xfId="0" applyNumberFormat="1" applyFont="1" applyBorder="1" applyAlignment="1" applyProtection="1">
      <alignment horizontal="center"/>
      <protection locked="0"/>
    </xf>
    <xf numFmtId="171" fontId="48" fillId="18" borderId="0" xfId="0" applyNumberFormat="1" applyFont="1" applyFill="1"/>
    <xf numFmtId="172" fontId="1" fillId="18" borderId="0" xfId="14" applyNumberFormat="1" applyFont="1" applyFill="1"/>
    <xf numFmtId="173" fontId="48" fillId="18" borderId="0" xfId="0" applyNumberFormat="1" applyFont="1" applyFill="1"/>
    <xf numFmtId="174" fontId="48" fillId="18" borderId="0" xfId="14" applyNumberFormat="1" applyFont="1" applyFill="1"/>
    <xf numFmtId="175" fontId="1" fillId="18" borderId="0" xfId="0" applyNumberFormat="1" applyFont="1" applyFill="1"/>
    <xf numFmtId="172" fontId="48" fillId="18" borderId="0" xfId="14" applyNumberFormat="1" applyFont="1" applyFill="1"/>
    <xf numFmtId="175" fontId="1" fillId="22" borderId="14" xfId="0" applyNumberFormat="1" applyFont="1" applyFill="1" applyBorder="1" applyAlignment="1">
      <alignment horizontal="center"/>
    </xf>
    <xf numFmtId="169" fontId="1" fillId="22" borderId="15" xfId="0" applyNumberFormat="1" applyFont="1" applyFill="1" applyBorder="1" applyAlignment="1">
      <alignment horizontal="center"/>
    </xf>
    <xf numFmtId="176" fontId="1" fillId="18" borderId="0" xfId="0" applyNumberFormat="1" applyFont="1" applyFill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77" fontId="48" fillId="18" borderId="0" xfId="0" applyNumberFormat="1" applyFont="1" applyFill="1"/>
    <xf numFmtId="173" fontId="1" fillId="18" borderId="0" xfId="0" applyNumberFormat="1" applyFont="1" applyFill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9" fontId="49" fillId="23" borderId="16" xfId="0" applyNumberFormat="1" applyFont="1" applyFill="1" applyBorder="1" applyAlignment="1">
      <alignment horizontal="center"/>
    </xf>
    <xf numFmtId="0" fontId="2" fillId="20" borderId="17" xfId="0" applyFont="1" applyFill="1" applyBorder="1" applyAlignment="1">
      <alignment horizontal="center"/>
    </xf>
    <xf numFmtId="0" fontId="2" fillId="20" borderId="18" xfId="0" applyFont="1" applyFill="1" applyBorder="1" applyAlignment="1">
      <alignment horizontal="center"/>
    </xf>
    <xf numFmtId="0" fontId="2" fillId="20" borderId="19" xfId="0" applyFont="1" applyFill="1" applyBorder="1" applyAlignment="1">
      <alignment horizontal="center"/>
    </xf>
    <xf numFmtId="167" fontId="1" fillId="24" borderId="10" xfId="0" applyNumberFormat="1" applyFont="1" applyFill="1" applyBorder="1" applyAlignment="1">
      <alignment horizontal="center"/>
    </xf>
    <xf numFmtId="169" fontId="3" fillId="24" borderId="16" xfId="0" applyNumberFormat="1" applyFont="1" applyFill="1" applyBorder="1" applyAlignment="1">
      <alignment horizontal="center"/>
    </xf>
    <xf numFmtId="166" fontId="1" fillId="24" borderId="10" xfId="0" applyNumberFormat="1" applyFont="1" applyFill="1" applyBorder="1" applyAlignment="1">
      <alignment horizontal="center"/>
    </xf>
    <xf numFmtId="2" fontId="6" fillId="24" borderId="16" xfId="0" applyNumberFormat="1" applyFont="1" applyFill="1" applyBorder="1" applyAlignment="1">
      <alignment horizontal="center"/>
    </xf>
    <xf numFmtId="12" fontId="6" fillId="24" borderId="16" xfId="0" applyNumberFormat="1" applyFont="1" applyFill="1" applyBorder="1" applyAlignment="1">
      <alignment vertical="center"/>
    </xf>
    <xf numFmtId="0" fontId="5" fillId="20" borderId="19" xfId="0" applyFont="1" applyFill="1" applyBorder="1" applyAlignment="1">
      <alignment horizontal="center"/>
    </xf>
    <xf numFmtId="0" fontId="4" fillId="20" borderId="19" xfId="0" applyFont="1" applyFill="1" applyBorder="1" applyAlignment="1">
      <alignment horizontal="center"/>
    </xf>
    <xf numFmtId="169" fontId="49" fillId="25" borderId="9" xfId="0" applyNumberFormat="1" applyFont="1" applyFill="1" applyBorder="1" applyAlignment="1">
      <alignment horizontal="center"/>
    </xf>
    <xf numFmtId="169" fontId="1" fillId="26" borderId="15" xfId="0" applyNumberFormat="1" applyFont="1" applyFill="1" applyBorder="1" applyAlignment="1">
      <alignment horizontal="center"/>
    </xf>
    <xf numFmtId="0" fontId="1" fillId="27" borderId="14" xfId="0" applyFont="1" applyFill="1" applyBorder="1" applyAlignment="1">
      <alignment horizontal="center"/>
    </xf>
    <xf numFmtId="0" fontId="1" fillId="27" borderId="15" xfId="0" applyFont="1" applyFill="1" applyBorder="1" applyAlignment="1">
      <alignment horizontal="center"/>
    </xf>
    <xf numFmtId="176" fontId="1" fillId="27" borderId="9" xfId="0" applyNumberFormat="1" applyFont="1" applyFill="1" applyBorder="1" applyAlignment="1">
      <alignment horizontal="center"/>
    </xf>
    <xf numFmtId="169" fontId="1" fillId="28" borderId="16" xfId="0" applyNumberFormat="1" applyFont="1" applyFill="1" applyBorder="1" applyAlignment="1">
      <alignment horizontal="center"/>
    </xf>
    <xf numFmtId="0" fontId="50" fillId="18" borderId="0" xfId="0" applyFont="1" applyFill="1" applyAlignment="1">
      <alignment vertical="center"/>
    </xf>
    <xf numFmtId="0" fontId="51" fillId="25" borderId="18" xfId="0" applyFont="1" applyFill="1" applyBorder="1" applyAlignment="1">
      <alignment horizontal="center"/>
    </xf>
    <xf numFmtId="0" fontId="51" fillId="25" borderId="19" xfId="0" applyFont="1" applyFill="1" applyBorder="1" applyAlignment="1">
      <alignment horizontal="center"/>
    </xf>
    <xf numFmtId="0" fontId="51" fillId="25" borderId="20" xfId="0" applyFont="1" applyFill="1" applyBorder="1" applyAlignment="1">
      <alignment horizontal="center"/>
    </xf>
    <xf numFmtId="0" fontId="42" fillId="0" borderId="0" xfId="1" applyAlignment="1" applyProtection="1"/>
    <xf numFmtId="178" fontId="2" fillId="0" borderId="10" xfId="0" applyNumberFormat="1" applyFont="1" applyBorder="1" applyAlignment="1" applyProtection="1">
      <alignment horizontal="center"/>
      <protection locked="0"/>
    </xf>
    <xf numFmtId="178" fontId="2" fillId="0" borderId="21" xfId="0" applyNumberFormat="1" applyFont="1" applyBorder="1" applyAlignment="1" applyProtection="1">
      <alignment horizontal="center"/>
      <protection locked="0"/>
    </xf>
    <xf numFmtId="0" fontId="7" fillId="2" borderId="0" xfId="8" applyFill="1"/>
    <xf numFmtId="0" fontId="7" fillId="0" borderId="22" xfId="8" applyBorder="1"/>
    <xf numFmtId="0" fontId="7" fillId="0" borderId="23" xfId="8" applyBorder="1"/>
    <xf numFmtId="0" fontId="7" fillId="0" borderId="24" xfId="8" applyBorder="1"/>
    <xf numFmtId="0" fontId="7" fillId="0" borderId="25" xfId="8" applyBorder="1"/>
    <xf numFmtId="0" fontId="8" fillId="0" borderId="26" xfId="8" applyFont="1" applyBorder="1" applyAlignment="1">
      <alignment horizontal="right"/>
    </xf>
    <xf numFmtId="0" fontId="7" fillId="0" borderId="27" xfId="8" applyBorder="1"/>
    <xf numFmtId="0" fontId="7" fillId="0" borderId="28" xfId="8" applyBorder="1"/>
    <xf numFmtId="0" fontId="7" fillId="0" borderId="29" xfId="8" applyBorder="1"/>
    <xf numFmtId="0" fontId="7" fillId="0" borderId="30" xfId="8" applyBorder="1"/>
    <xf numFmtId="0" fontId="5" fillId="0" borderId="26" xfId="8" applyFont="1" applyBorder="1" applyAlignment="1">
      <alignment horizontal="right"/>
    </xf>
    <xf numFmtId="2" fontId="9" fillId="2" borderId="26" xfId="8" applyNumberFormat="1" applyFont="1" applyFill="1" applyBorder="1"/>
    <xf numFmtId="0" fontId="9" fillId="0" borderId="0" xfId="8" applyFont="1"/>
    <xf numFmtId="179" fontId="5" fillId="0" borderId="0" xfId="8" applyNumberFormat="1" applyFont="1" applyAlignment="1">
      <alignment horizontal="right"/>
    </xf>
    <xf numFmtId="2" fontId="10" fillId="0" borderId="0" xfId="8" applyNumberFormat="1" applyFont="1" applyAlignment="1">
      <alignment horizontal="center"/>
    </xf>
    <xf numFmtId="179" fontId="10" fillId="0" borderId="0" xfId="8" applyNumberFormat="1" applyFont="1"/>
    <xf numFmtId="179" fontId="5" fillId="0" borderId="0" xfId="8" applyNumberFormat="1" applyFont="1"/>
    <xf numFmtId="0" fontId="5" fillId="0" borderId="0" xfId="8" applyFont="1" applyAlignment="1">
      <alignment horizontal="right"/>
    </xf>
    <xf numFmtId="0" fontId="9" fillId="0" borderId="0" xfId="8" applyFont="1" applyAlignment="1">
      <alignment horizontal="center"/>
    </xf>
    <xf numFmtId="171" fontId="9" fillId="21" borderId="26" xfId="8" applyNumberFormat="1" applyFont="1" applyFill="1" applyBorder="1" applyProtection="1">
      <protection locked="0"/>
    </xf>
    <xf numFmtId="181" fontId="9" fillId="2" borderId="26" xfId="8" applyNumberFormat="1" applyFont="1" applyFill="1" applyBorder="1"/>
    <xf numFmtId="0" fontId="7" fillId="0" borderId="0" xfId="8"/>
    <xf numFmtId="0" fontId="52" fillId="0" borderId="0" xfId="8" applyFont="1"/>
    <xf numFmtId="0" fontId="2" fillId="0" borderId="0" xfId="0" applyFont="1"/>
    <xf numFmtId="0" fontId="44" fillId="0" borderId="5" xfId="0" applyFont="1" applyBorder="1"/>
    <xf numFmtId="0" fontId="44" fillId="0" borderId="0" xfId="0" applyFont="1"/>
    <xf numFmtId="0" fontId="53" fillId="0" borderId="0" xfId="0" applyFont="1"/>
    <xf numFmtId="0" fontId="2" fillId="29" borderId="0" xfId="0" applyFont="1" applyFill="1"/>
    <xf numFmtId="0" fontId="7" fillId="29" borderId="0" xfId="8" applyFill="1"/>
    <xf numFmtId="0" fontId="54" fillId="0" borderId="22" xfId="8" applyFont="1" applyBorder="1"/>
    <xf numFmtId="0" fontId="54" fillId="0" borderId="23" xfId="8" applyFont="1" applyBorder="1"/>
    <xf numFmtId="0" fontId="54" fillId="0" borderId="24" xfId="8" applyFont="1" applyBorder="1"/>
    <xf numFmtId="0" fontId="54" fillId="0" borderId="25" xfId="8" applyFont="1" applyBorder="1"/>
    <xf numFmtId="0" fontId="54" fillId="0" borderId="0" xfId="8" applyFont="1"/>
    <xf numFmtId="0" fontId="54" fillId="0" borderId="27" xfId="8" applyFont="1" applyBorder="1"/>
    <xf numFmtId="0" fontId="55" fillId="0" borderId="0" xfId="8" applyFont="1" applyAlignment="1">
      <alignment horizontal="right"/>
    </xf>
    <xf numFmtId="0" fontId="54" fillId="0" borderId="0" xfId="8" applyFont="1" applyAlignment="1">
      <alignment horizontal="center"/>
    </xf>
    <xf numFmtId="0" fontId="54" fillId="0" borderId="28" xfId="8" applyFont="1" applyBorder="1"/>
    <xf numFmtId="0" fontId="54" fillId="0" borderId="29" xfId="8" applyFont="1" applyBorder="1"/>
    <xf numFmtId="0" fontId="54" fillId="0" borderId="30" xfId="8" applyFont="1" applyBorder="1"/>
    <xf numFmtId="2" fontId="56" fillId="3" borderId="0" xfId="8" applyNumberFormat="1" applyFont="1" applyFill="1" applyAlignment="1">
      <alignment horizontal="center" vertical="center"/>
    </xf>
    <xf numFmtId="0" fontId="55" fillId="0" borderId="26" xfId="8" applyFont="1" applyBorder="1" applyAlignment="1">
      <alignment horizontal="right" vertical="center"/>
    </xf>
    <xf numFmtId="2" fontId="54" fillId="2" borderId="26" xfId="8" applyNumberFormat="1" applyFont="1" applyFill="1" applyBorder="1" applyAlignment="1">
      <alignment vertical="center"/>
    </xf>
    <xf numFmtId="0" fontId="54" fillId="0" borderId="0" xfId="8" applyFont="1" applyAlignment="1">
      <alignment vertical="center"/>
    </xf>
    <xf numFmtId="179" fontId="55" fillId="0" borderId="0" xfId="8" applyNumberFormat="1" applyFont="1" applyAlignment="1">
      <alignment horizontal="right" vertical="center"/>
    </xf>
    <xf numFmtId="2" fontId="57" fillId="0" borderId="0" xfId="8" applyNumberFormat="1" applyFont="1" applyAlignment="1">
      <alignment horizontal="center" vertical="center"/>
    </xf>
    <xf numFmtId="179" fontId="57" fillId="0" borderId="0" xfId="8" applyNumberFormat="1" applyFont="1" applyAlignment="1">
      <alignment vertical="center"/>
    </xf>
    <xf numFmtId="171" fontId="54" fillId="0" borderId="26" xfId="8" applyNumberFormat="1" applyFont="1" applyBorder="1" applyAlignment="1" applyProtection="1">
      <alignment vertical="center"/>
      <protection locked="0"/>
    </xf>
    <xf numFmtId="179" fontId="55" fillId="0" borderId="0" xfId="8" applyNumberFormat="1" applyFont="1" applyAlignment="1">
      <alignment vertical="center"/>
    </xf>
    <xf numFmtId="179" fontId="54" fillId="0" borderId="0" xfId="8" applyNumberFormat="1" applyFont="1" applyAlignment="1">
      <alignment vertical="center"/>
    </xf>
    <xf numFmtId="0" fontId="55" fillId="0" borderId="0" xfId="8" applyFont="1" applyAlignment="1">
      <alignment horizontal="right" vertical="center"/>
    </xf>
    <xf numFmtId="179" fontId="54" fillId="0" borderId="0" xfId="8" applyNumberFormat="1" applyFont="1" applyAlignment="1">
      <alignment horizontal="center" vertical="center"/>
    </xf>
    <xf numFmtId="0" fontId="54" fillId="0" borderId="0" xfId="8" applyFont="1" applyAlignment="1">
      <alignment horizontal="center" vertical="center"/>
    </xf>
    <xf numFmtId="2" fontId="57" fillId="3" borderId="0" xfId="8" applyNumberFormat="1" applyFont="1" applyFill="1" applyAlignment="1">
      <alignment horizontal="center" vertical="center"/>
    </xf>
    <xf numFmtId="0" fontId="55" fillId="0" borderId="31" xfId="8" applyFont="1" applyBorder="1" applyAlignment="1">
      <alignment vertical="center"/>
    </xf>
    <xf numFmtId="0" fontId="54" fillId="0" borderId="32" xfId="8" applyFont="1" applyBorder="1" applyAlignment="1">
      <alignment vertical="center"/>
    </xf>
    <xf numFmtId="0" fontId="54" fillId="0" borderId="33" xfId="8" applyFont="1" applyBorder="1" applyAlignment="1">
      <alignment vertical="center"/>
    </xf>
    <xf numFmtId="171" fontId="58" fillId="19" borderId="0" xfId="0" applyNumberFormat="1" applyFont="1" applyFill="1" applyAlignment="1" applyProtection="1">
      <alignment horizontal="center" vertical="center" textRotation="52"/>
      <protection locked="0"/>
    </xf>
    <xf numFmtId="0" fontId="52" fillId="0" borderId="8" xfId="8" applyFont="1" applyBorder="1"/>
    <xf numFmtId="0" fontId="52" fillId="0" borderId="7" xfId="8" applyFont="1" applyBorder="1"/>
    <xf numFmtId="0" fontId="52" fillId="0" borderId="5" xfId="8" applyFont="1" applyBorder="1"/>
    <xf numFmtId="0" fontId="52" fillId="0" borderId="4" xfId="8" applyFont="1" applyBorder="1"/>
    <xf numFmtId="0" fontId="52" fillId="0" borderId="3" xfId="8" applyFont="1" applyBorder="1"/>
    <xf numFmtId="0" fontId="52" fillId="0" borderId="2" xfId="8" applyFont="1" applyBorder="1"/>
    <xf numFmtId="0" fontId="52" fillId="0" borderId="1" xfId="8" applyFont="1" applyBorder="1"/>
    <xf numFmtId="0" fontId="59" fillId="0" borderId="26" xfId="8" applyFont="1" applyBorder="1" applyAlignment="1">
      <alignment horizontal="center" vertical="center"/>
    </xf>
    <xf numFmtId="0" fontId="59" fillId="0" borderId="34" xfId="8" applyFont="1" applyBorder="1" applyAlignment="1">
      <alignment horizontal="center" vertical="center"/>
    </xf>
    <xf numFmtId="10" fontId="52" fillId="0" borderId="26" xfId="8" applyNumberFormat="1" applyFont="1" applyBorder="1" applyAlignment="1">
      <alignment horizontal="center" vertical="center"/>
    </xf>
    <xf numFmtId="0" fontId="52" fillId="0" borderId="26" xfId="8" applyFont="1" applyBorder="1" applyAlignment="1">
      <alignment horizontal="center" vertical="center"/>
    </xf>
    <xf numFmtId="0" fontId="52" fillId="0" borderId="0" xfId="8" applyFont="1" applyAlignment="1">
      <alignment horizontal="center" vertical="center"/>
    </xf>
    <xf numFmtId="10" fontId="59" fillId="0" borderId="26" xfId="8" applyNumberFormat="1" applyFont="1" applyBorder="1" applyAlignment="1">
      <alignment horizontal="center" vertical="center"/>
    </xf>
    <xf numFmtId="0" fontId="52" fillId="0" borderId="34" xfId="8" applyFont="1" applyBorder="1" applyAlignment="1">
      <alignment horizontal="center" vertical="center"/>
    </xf>
    <xf numFmtId="0" fontId="52" fillId="0" borderId="30" xfId="8" applyFont="1" applyBorder="1" applyAlignment="1">
      <alignment horizontal="center" vertical="center"/>
    </xf>
    <xf numFmtId="0" fontId="52" fillId="0" borderId="35" xfId="8" applyFont="1" applyBorder="1" applyAlignment="1">
      <alignment horizontal="center" vertical="center"/>
    </xf>
    <xf numFmtId="0" fontId="59" fillId="30" borderId="35" xfId="8" applyFont="1" applyFill="1" applyBorder="1" applyAlignment="1">
      <alignment horizontal="center" vertical="center"/>
    </xf>
    <xf numFmtId="0" fontId="7" fillId="0" borderId="8" xfId="8" applyBorder="1"/>
    <xf numFmtId="0" fontId="7" fillId="0" borderId="7" xfId="8" applyBorder="1"/>
    <xf numFmtId="0" fontId="7" fillId="0" borderId="6" xfId="8" applyBorder="1"/>
    <xf numFmtId="0" fontId="7" fillId="0" borderId="5" xfId="8" applyBorder="1"/>
    <xf numFmtId="0" fontId="60" fillId="0" borderId="36" xfId="10" applyFont="1" applyBorder="1" applyAlignment="1">
      <alignment horizontal="center"/>
    </xf>
    <xf numFmtId="0" fontId="41" fillId="0" borderId="4" xfId="10" applyBorder="1"/>
    <xf numFmtId="0" fontId="41" fillId="0" borderId="0" xfId="10"/>
    <xf numFmtId="0" fontId="44" fillId="0" borderId="5" xfId="10" applyFont="1" applyBorder="1"/>
    <xf numFmtId="0" fontId="44" fillId="0" borderId="0" xfId="10" applyFont="1" applyAlignment="1">
      <alignment horizontal="center"/>
    </xf>
    <xf numFmtId="2" fontId="41" fillId="0" borderId="0" xfId="10" applyNumberFormat="1" applyAlignment="1">
      <alignment horizontal="center"/>
    </xf>
    <xf numFmtId="0" fontId="41" fillId="0" borderId="5" xfId="10" applyBorder="1"/>
    <xf numFmtId="0" fontId="44" fillId="0" borderId="37" xfId="10" applyFont="1" applyBorder="1" applyAlignment="1">
      <alignment horizontal="center" vertical="center" wrapText="1"/>
    </xf>
    <xf numFmtId="0" fontId="61" fillId="31" borderId="5" xfId="10" applyFont="1" applyFill="1" applyBorder="1" applyAlignment="1">
      <alignment horizontal="center" vertical="center"/>
    </xf>
    <xf numFmtId="186" fontId="44" fillId="22" borderId="36" xfId="10" applyNumberFormat="1" applyFont="1" applyFill="1" applyBorder="1" applyAlignment="1">
      <alignment horizontal="center"/>
    </xf>
    <xf numFmtId="2" fontId="41" fillId="22" borderId="36" xfId="10" applyNumberFormat="1" applyFill="1" applyBorder="1" applyAlignment="1">
      <alignment horizontal="center"/>
    </xf>
    <xf numFmtId="0" fontId="62" fillId="32" borderId="0" xfId="2" applyFont="1" applyFill="1" applyAlignment="1" applyProtection="1"/>
    <xf numFmtId="0" fontId="62" fillId="32" borderId="4" xfId="2" applyFont="1" applyFill="1" applyBorder="1" applyAlignment="1" applyProtection="1"/>
    <xf numFmtId="0" fontId="62" fillId="24" borderId="0" xfId="2" applyFont="1" applyFill="1" applyAlignment="1" applyProtection="1"/>
    <xf numFmtId="0" fontId="63" fillId="0" borderId="0" xfId="6" applyFont="1"/>
    <xf numFmtId="0" fontId="64" fillId="33" borderId="37" xfId="4" applyFont="1" applyFill="1" applyBorder="1" applyAlignment="1">
      <alignment horizontal="center" vertical="center" wrapText="1"/>
    </xf>
    <xf numFmtId="0" fontId="64" fillId="33" borderId="36" xfId="4" applyFont="1" applyFill="1" applyBorder="1" applyAlignment="1">
      <alignment horizontal="center" vertical="center" wrapText="1"/>
    </xf>
    <xf numFmtId="0" fontId="64" fillId="32" borderId="0" xfId="4" applyFont="1" applyFill="1" applyAlignment="1">
      <alignment horizontal="center" vertical="center" wrapText="1"/>
    </xf>
    <xf numFmtId="0" fontId="9" fillId="32" borderId="0" xfId="8" applyFont="1" applyFill="1"/>
    <xf numFmtId="0" fontId="9" fillId="32" borderId="4" xfId="8" applyFont="1" applyFill="1" applyBorder="1"/>
    <xf numFmtId="0" fontId="64" fillId="24" borderId="0" xfId="4" applyFont="1" applyFill="1" applyAlignment="1">
      <alignment horizontal="center" vertical="center" wrapText="1"/>
    </xf>
    <xf numFmtId="0" fontId="9" fillId="24" borderId="0" xfId="8" applyFont="1" applyFill="1"/>
    <xf numFmtId="0" fontId="63" fillId="24" borderId="4" xfId="6" applyFont="1" applyFill="1" applyBorder="1"/>
    <xf numFmtId="0" fontId="64" fillId="32" borderId="0" xfId="4" applyFont="1" applyFill="1" applyAlignment="1">
      <alignment horizontal="center" vertical="center"/>
    </xf>
    <xf numFmtId="0" fontId="64" fillId="24" borderId="0" xfId="4" applyFont="1" applyFill="1" applyAlignment="1">
      <alignment horizontal="center" vertical="center"/>
    </xf>
    <xf numFmtId="0" fontId="65" fillId="32" borderId="5" xfId="4" applyFont="1" applyFill="1" applyBorder="1"/>
    <xf numFmtId="0" fontId="65" fillId="32" borderId="0" xfId="4" applyFont="1" applyFill="1"/>
    <xf numFmtId="0" fontId="65" fillId="24" borderId="5" xfId="4" applyFont="1" applyFill="1" applyBorder="1"/>
    <xf numFmtId="0" fontId="65" fillId="24" borderId="0" xfId="4" applyFont="1" applyFill="1"/>
    <xf numFmtId="0" fontId="66" fillId="32" borderId="4" xfId="4" applyFont="1" applyFill="1" applyBorder="1" applyAlignment="1">
      <alignment horizontal="center" wrapText="1"/>
    </xf>
    <xf numFmtId="0" fontId="65" fillId="32" borderId="0" xfId="6" applyFont="1" applyFill="1"/>
    <xf numFmtId="0" fontId="65" fillId="24" borderId="0" xfId="6" applyFont="1" applyFill="1"/>
    <xf numFmtId="0" fontId="64" fillId="33" borderId="38" xfId="4" applyFont="1" applyFill="1" applyBorder="1" applyAlignment="1">
      <alignment horizontal="center" vertical="center" wrapText="1"/>
    </xf>
    <xf numFmtId="0" fontId="2" fillId="32" borderId="4" xfId="8" applyFont="1" applyFill="1" applyBorder="1" applyAlignment="1">
      <alignment horizontal="left"/>
    </xf>
    <xf numFmtId="1" fontId="3" fillId="33" borderId="39" xfId="4" applyNumberFormat="1" applyFont="1" applyFill="1" applyBorder="1" applyAlignment="1">
      <alignment horizontal="center" vertical="center"/>
    </xf>
    <xf numFmtId="0" fontId="2" fillId="32" borderId="4" xfId="8" applyFont="1" applyFill="1" applyBorder="1" applyAlignment="1">
      <alignment horizontal="left" vertical="top"/>
    </xf>
    <xf numFmtId="0" fontId="9" fillId="32" borderId="3" xfId="8" applyFont="1" applyFill="1" applyBorder="1"/>
    <xf numFmtId="0" fontId="9" fillId="32" borderId="2" xfId="8" applyFont="1" applyFill="1" applyBorder="1"/>
    <xf numFmtId="0" fontId="9" fillId="32" borderId="1" xfId="8" applyFont="1" applyFill="1" applyBorder="1"/>
    <xf numFmtId="0" fontId="9" fillId="24" borderId="3" xfId="8" applyFont="1" applyFill="1" applyBorder="1"/>
    <xf numFmtId="0" fontId="9" fillId="24" borderId="2" xfId="8" applyFont="1" applyFill="1" applyBorder="1"/>
    <xf numFmtId="0" fontId="63" fillId="24" borderId="1" xfId="6" applyFont="1" applyFill="1" applyBorder="1"/>
    <xf numFmtId="0" fontId="67" fillId="34" borderId="0" xfId="8" applyFont="1" applyFill="1" applyAlignment="1">
      <alignment horizontal="center"/>
    </xf>
    <xf numFmtId="0" fontId="64" fillId="21" borderId="36" xfId="4" applyFont="1" applyFill="1" applyBorder="1" applyAlignment="1" applyProtection="1">
      <alignment horizontal="center" vertical="center"/>
      <protection locked="0"/>
    </xf>
    <xf numFmtId="0" fontId="64" fillId="21" borderId="39" xfId="4" applyFont="1" applyFill="1" applyBorder="1" applyAlignment="1" applyProtection="1">
      <alignment horizontal="center" vertical="center"/>
      <protection locked="0"/>
    </xf>
    <xf numFmtId="0" fontId="9" fillId="0" borderId="8" xfId="8" applyFont="1" applyBorder="1" applyAlignment="1">
      <alignment horizontal="center"/>
    </xf>
    <xf numFmtId="0" fontId="13" fillId="0" borderId="7" xfId="8" applyFont="1" applyBorder="1" applyAlignment="1">
      <alignment horizontal="center" vertical="center" textRotation="90"/>
    </xf>
    <xf numFmtId="0" fontId="9" fillId="0" borderId="5" xfId="8" applyFont="1" applyBorder="1"/>
    <xf numFmtId="187" fontId="68" fillId="33" borderId="39" xfId="4" applyNumberFormat="1" applyFont="1" applyFill="1" applyBorder="1" applyAlignment="1">
      <alignment horizontal="center" vertical="center"/>
    </xf>
    <xf numFmtId="0" fontId="64" fillId="35" borderId="5" xfId="4" applyFont="1" applyFill="1" applyBorder="1" applyAlignment="1">
      <alignment horizontal="right"/>
    </xf>
    <xf numFmtId="0" fontId="5" fillId="35" borderId="4" xfId="8" applyFont="1" applyFill="1" applyBorder="1" applyAlignment="1">
      <alignment horizontal="left"/>
    </xf>
    <xf numFmtId="0" fontId="5" fillId="35" borderId="3" xfId="8" applyFont="1" applyFill="1" applyBorder="1" applyAlignment="1">
      <alignment horizontal="right" vertical="top"/>
    </xf>
    <xf numFmtId="0" fontId="5" fillId="35" borderId="1" xfId="8" applyFont="1" applyFill="1" applyBorder="1" applyAlignment="1">
      <alignment horizontal="left" vertical="top"/>
    </xf>
    <xf numFmtId="0" fontId="67" fillId="23" borderId="0" xfId="8" applyFont="1" applyFill="1" applyAlignment="1">
      <alignment horizontal="center"/>
    </xf>
    <xf numFmtId="0" fontId="0" fillId="0" borderId="40" xfId="0" applyBorder="1" applyAlignment="1">
      <alignment horizontal="center" vertical="center"/>
    </xf>
    <xf numFmtId="189" fontId="69" fillId="26" borderId="26" xfId="8" applyNumberFormat="1" applyFont="1" applyFill="1" applyBorder="1" applyAlignment="1">
      <alignment vertical="center"/>
    </xf>
    <xf numFmtId="0" fontId="70" fillId="26" borderId="0" xfId="8" applyFont="1" applyFill="1"/>
    <xf numFmtId="0" fontId="71" fillId="26" borderId="0" xfId="8" applyFont="1" applyFill="1"/>
    <xf numFmtId="0" fontId="20" fillId="26" borderId="0" xfId="8" applyFont="1" applyFill="1"/>
    <xf numFmtId="0" fontId="71" fillId="26" borderId="0" xfId="8" applyFont="1" applyFill="1" applyAlignment="1">
      <alignment horizontal="left" vertical="center"/>
    </xf>
    <xf numFmtId="0" fontId="20" fillId="26" borderId="0" xfId="8" applyFont="1" applyFill="1" applyAlignment="1">
      <alignment vertical="center"/>
    </xf>
    <xf numFmtId="0" fontId="71" fillId="26" borderId="0" xfId="8" applyFont="1" applyFill="1" applyAlignment="1">
      <alignment vertical="center"/>
    </xf>
    <xf numFmtId="173" fontId="71" fillId="26" borderId="0" xfId="8" applyNumberFormat="1" applyFont="1" applyFill="1" applyAlignment="1">
      <alignment vertical="center"/>
    </xf>
    <xf numFmtId="0" fontId="71" fillId="26" borderId="0" xfId="8" applyFont="1" applyFill="1" applyAlignment="1">
      <alignment horizontal="center" vertical="center"/>
    </xf>
    <xf numFmtId="2" fontId="71" fillId="26" borderId="0" xfId="8" applyNumberFormat="1" applyFont="1" applyFill="1" applyAlignment="1">
      <alignment horizontal="center" vertical="center"/>
    </xf>
    <xf numFmtId="173" fontId="71" fillId="26" borderId="0" xfId="8" applyNumberFormat="1" applyFont="1" applyFill="1" applyAlignment="1">
      <alignment horizontal="center"/>
    </xf>
    <xf numFmtId="10" fontId="71" fillId="26" borderId="0" xfId="13" applyNumberFormat="1" applyFont="1" applyFill="1"/>
    <xf numFmtId="179" fontId="71" fillId="26" borderId="0" xfId="8" applyNumberFormat="1" applyFont="1" applyFill="1" applyAlignment="1">
      <alignment horizontal="left" vertical="center"/>
    </xf>
    <xf numFmtId="170" fontId="71" fillId="26" borderId="0" xfId="8" applyNumberFormat="1" applyFont="1" applyFill="1" applyAlignment="1">
      <alignment horizontal="center" vertical="center"/>
    </xf>
    <xf numFmtId="170" fontId="71" fillId="26" borderId="0" xfId="8" applyNumberFormat="1" applyFont="1" applyFill="1" applyAlignment="1">
      <alignment horizontal="center" vertical="center" wrapText="1"/>
    </xf>
    <xf numFmtId="10" fontId="71" fillId="26" borderId="0" xfId="8" applyNumberFormat="1" applyFont="1" applyFill="1"/>
    <xf numFmtId="170" fontId="71" fillId="26" borderId="0" xfId="8" applyNumberFormat="1" applyFont="1" applyFill="1" applyAlignment="1">
      <alignment vertical="center"/>
    </xf>
    <xf numFmtId="170" fontId="71" fillId="26" borderId="0" xfId="8" applyNumberFormat="1" applyFont="1" applyFill="1" applyAlignment="1">
      <alignment vertical="center" wrapText="1"/>
    </xf>
    <xf numFmtId="190" fontId="20" fillId="26" borderId="0" xfId="8" applyNumberFormat="1" applyFont="1" applyFill="1" applyAlignment="1">
      <alignment vertical="center" wrapText="1"/>
    </xf>
    <xf numFmtId="0" fontId="20" fillId="26" borderId="0" xfId="8" applyFont="1" applyFill="1" applyAlignment="1">
      <alignment vertical="center" wrapText="1"/>
    </xf>
    <xf numFmtId="0" fontId="20" fillId="26" borderId="0" xfId="8" applyFont="1" applyFill="1" applyAlignment="1">
      <alignment horizontal="center"/>
    </xf>
    <xf numFmtId="0" fontId="20" fillId="26" borderId="0" xfId="8" applyFont="1" applyFill="1" applyAlignment="1">
      <alignment horizontal="center" vertical="center"/>
    </xf>
    <xf numFmtId="0" fontId="20" fillId="26" borderId="0" xfId="8" applyFont="1" applyFill="1" applyAlignment="1">
      <alignment horizontal="center" vertical="center" wrapText="1"/>
    </xf>
    <xf numFmtId="190" fontId="20" fillId="26" borderId="0" xfId="8" applyNumberFormat="1" applyFont="1" applyFill="1" applyAlignment="1">
      <alignment horizontal="center" vertical="center" wrapText="1"/>
    </xf>
    <xf numFmtId="0" fontId="72" fillId="26" borderId="0" xfId="8" applyFont="1" applyFill="1" applyAlignment="1">
      <alignment horizontal="right"/>
    </xf>
    <xf numFmtId="0" fontId="73" fillId="0" borderId="41" xfId="8" applyFont="1" applyBorder="1" applyAlignment="1" applyProtection="1">
      <alignment horizontal="center" vertical="center"/>
      <protection locked="0"/>
    </xf>
    <xf numFmtId="173" fontId="74" fillId="22" borderId="42" xfId="8" applyNumberFormat="1" applyFont="1" applyFill="1" applyBorder="1" applyAlignment="1">
      <alignment horizontal="center" vertical="center" wrapText="1" shrinkToFit="1"/>
    </xf>
    <xf numFmtId="0" fontId="73" fillId="26" borderId="0" xfId="8" applyFont="1" applyFill="1" applyAlignment="1">
      <alignment vertical="center"/>
    </xf>
    <xf numFmtId="0" fontId="73" fillId="0" borderId="26" xfId="8" applyFont="1" applyBorder="1" applyAlignment="1">
      <alignment horizontal="left" vertical="center"/>
    </xf>
    <xf numFmtId="173" fontId="74" fillId="22" borderId="15" xfId="8" applyNumberFormat="1" applyFont="1" applyFill="1" applyBorder="1" applyAlignment="1">
      <alignment vertical="center"/>
    </xf>
    <xf numFmtId="0" fontId="73" fillId="26" borderId="0" xfId="8" applyFont="1" applyFill="1"/>
    <xf numFmtId="173" fontId="73" fillId="26" borderId="0" xfId="8" applyNumberFormat="1" applyFont="1" applyFill="1" applyAlignment="1">
      <alignment vertical="center"/>
    </xf>
    <xf numFmtId="171" fontId="73" fillId="0" borderId="43" xfId="8" applyNumberFormat="1" applyFont="1" applyBorder="1" applyAlignment="1" applyProtection="1">
      <alignment horizontal="center" vertical="center"/>
      <protection locked="0"/>
    </xf>
    <xf numFmtId="171" fontId="73" fillId="0" borderId="41" xfId="8" applyNumberFormat="1" applyFont="1" applyBorder="1" applyAlignment="1" applyProtection="1">
      <alignment horizontal="center" vertical="center"/>
      <protection locked="0"/>
    </xf>
    <xf numFmtId="164" fontId="75" fillId="22" borderId="44" xfId="3" applyFont="1" applyFill="1" applyBorder="1" applyAlignment="1">
      <alignment vertical="center"/>
    </xf>
    <xf numFmtId="173" fontId="76" fillId="0" borderId="45" xfId="8" applyNumberFormat="1" applyFont="1" applyBorder="1" applyAlignment="1">
      <alignment horizontal="left"/>
    </xf>
    <xf numFmtId="0" fontId="76" fillId="0" borderId="14" xfId="8" applyFont="1" applyBorder="1" applyAlignment="1">
      <alignment horizontal="left" vertical="center"/>
    </xf>
    <xf numFmtId="0" fontId="76" fillId="0" borderId="14" xfId="8" applyFont="1" applyBorder="1" applyAlignment="1">
      <alignment horizontal="left" vertical="top"/>
    </xf>
    <xf numFmtId="0" fontId="76" fillId="0" borderId="14" xfId="8" applyFont="1" applyBorder="1"/>
    <xf numFmtId="179" fontId="76" fillId="0" borderId="14" xfId="8" applyNumberFormat="1" applyFont="1" applyBorder="1" applyAlignment="1">
      <alignment horizontal="left" vertical="center"/>
    </xf>
    <xf numFmtId="0" fontId="76" fillId="0" borderId="14" xfId="8" applyFont="1" applyBorder="1" applyAlignment="1">
      <alignment horizontal="left"/>
    </xf>
    <xf numFmtId="173" fontId="76" fillId="0" borderId="14" xfId="8" applyNumberFormat="1" applyFont="1" applyBorder="1" applyAlignment="1">
      <alignment horizontal="left" vertical="center"/>
    </xf>
    <xf numFmtId="0" fontId="76" fillId="0" borderId="46" xfId="8" applyFont="1" applyBorder="1" applyAlignment="1">
      <alignment horizontal="left" vertical="center"/>
    </xf>
    <xf numFmtId="0" fontId="76" fillId="0" borderId="9" xfId="8" applyFont="1" applyBorder="1" applyAlignment="1">
      <alignment horizontal="left" vertical="center"/>
    </xf>
    <xf numFmtId="0" fontId="47" fillId="0" borderId="0" xfId="0" applyFont="1" applyAlignment="1">
      <alignment horizontal="center"/>
    </xf>
    <xf numFmtId="0" fontId="51" fillId="25" borderId="17" xfId="0" applyFont="1" applyFill="1" applyBorder="1" applyAlignment="1">
      <alignment horizontal="center" vertical="center"/>
    </xf>
    <xf numFmtId="0" fontId="52" fillId="35" borderId="26" xfId="8" applyFont="1" applyFill="1" applyBorder="1" applyAlignment="1">
      <alignment horizontal="center" vertical="center"/>
    </xf>
    <xf numFmtId="169" fontId="2" fillId="22" borderId="16" xfId="0" applyNumberFormat="1" applyFont="1" applyFill="1" applyBorder="1" applyAlignment="1">
      <alignment horizontal="center"/>
    </xf>
    <xf numFmtId="164" fontId="76" fillId="0" borderId="47" xfId="3" applyFont="1" applyBorder="1" applyAlignment="1">
      <alignment vertical="center"/>
    </xf>
    <xf numFmtId="164" fontId="76" fillId="0" borderId="15" xfId="3" applyFont="1" applyBorder="1"/>
    <xf numFmtId="164" fontId="76" fillId="0" borderId="15" xfId="3" applyFont="1" applyBorder="1" applyAlignment="1">
      <alignment vertical="center"/>
    </xf>
    <xf numFmtId="164" fontId="76" fillId="0" borderId="15" xfId="3" applyFont="1" applyBorder="1" applyAlignment="1">
      <alignment horizontal="left" vertical="center"/>
    </xf>
    <xf numFmtId="164" fontId="76" fillId="0" borderId="15" xfId="3" applyFont="1" applyBorder="1" applyAlignment="1">
      <alignment horizontal="center"/>
    </xf>
    <xf numFmtId="164" fontId="76" fillId="0" borderId="48" xfId="3" applyFont="1" applyBorder="1"/>
    <xf numFmtId="164" fontId="76" fillId="0" borderId="16" xfId="3" applyFont="1" applyBorder="1"/>
    <xf numFmtId="0" fontId="73" fillId="0" borderId="14" xfId="8" applyFont="1" applyBorder="1" applyAlignment="1">
      <alignment horizontal="center" vertical="center"/>
    </xf>
    <xf numFmtId="0" fontId="77" fillId="36" borderId="49" xfId="8" applyFont="1" applyFill="1" applyBorder="1" applyAlignment="1">
      <alignment horizontal="center" vertical="center"/>
    </xf>
    <xf numFmtId="0" fontId="77" fillId="36" borderId="50" xfId="8" applyFont="1" applyFill="1" applyBorder="1" applyAlignment="1">
      <alignment horizontal="center" vertical="center"/>
    </xf>
    <xf numFmtId="0" fontId="78" fillId="36" borderId="44" xfId="8" applyFont="1" applyFill="1" applyBorder="1" applyAlignment="1">
      <alignment horizontal="center" vertical="center"/>
    </xf>
    <xf numFmtId="0" fontId="77" fillId="36" borderId="49" xfId="8" applyFont="1" applyFill="1" applyBorder="1" applyAlignment="1">
      <alignment horizontal="center"/>
    </xf>
    <xf numFmtId="0" fontId="77" fillId="36" borderId="44" xfId="8" applyFont="1" applyFill="1" applyBorder="1" applyAlignment="1">
      <alignment horizontal="center" vertical="center"/>
    </xf>
    <xf numFmtId="0" fontId="0" fillId="32" borderId="0" xfId="0" applyFill="1"/>
    <xf numFmtId="0" fontId="0" fillId="32" borderId="0" xfId="0" applyFill="1" applyAlignment="1">
      <alignment textRotation="60"/>
    </xf>
    <xf numFmtId="182" fontId="0" fillId="0" borderId="0" xfId="0" applyNumberFormat="1"/>
    <xf numFmtId="0" fontId="16" fillId="0" borderId="40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 textRotation="180"/>
    </xf>
    <xf numFmtId="0" fontId="0" fillId="0" borderId="52" xfId="0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2" fontId="17" fillId="0" borderId="40" xfId="0" applyNumberFormat="1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14" fontId="0" fillId="0" borderId="40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14" fontId="0" fillId="0" borderId="53" xfId="0" applyNumberForma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0" xfId="0" applyAlignment="1">
      <alignment horizontal="left" vertical="center" textRotation="90"/>
    </xf>
    <xf numFmtId="0" fontId="18" fillId="0" borderId="0" xfId="0" applyFont="1" applyAlignment="1">
      <alignment horizontal="right" vertical="center" textRotation="90"/>
    </xf>
    <xf numFmtId="0" fontId="79" fillId="0" borderId="40" xfId="0" applyFont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1" fillId="0" borderId="40" xfId="0" applyFont="1" applyBorder="1" applyAlignment="1">
      <alignment horizontal="center" vertical="center"/>
    </xf>
    <xf numFmtId="188" fontId="79" fillId="4" borderId="40" xfId="0" applyNumberFormat="1" applyFont="1" applyFill="1" applyBorder="1" applyAlignment="1">
      <alignment horizontal="center" vertical="center"/>
    </xf>
    <xf numFmtId="0" fontId="82" fillId="5" borderId="40" xfId="0" applyFont="1" applyFill="1" applyBorder="1" applyAlignment="1">
      <alignment horizontal="right" vertical="center"/>
    </xf>
    <xf numFmtId="1" fontId="83" fillId="5" borderId="40" xfId="0" applyNumberFormat="1" applyFont="1" applyFill="1" applyBorder="1" applyAlignment="1">
      <alignment horizontal="center" vertical="center"/>
    </xf>
    <xf numFmtId="173" fontId="84" fillId="0" borderId="40" xfId="0" applyNumberFormat="1" applyFont="1" applyBorder="1" applyAlignment="1">
      <alignment horizontal="center" vertical="center"/>
    </xf>
    <xf numFmtId="0" fontId="79" fillId="0" borderId="40" xfId="0" applyFont="1" applyBorder="1"/>
    <xf numFmtId="0" fontId="85" fillId="0" borderId="40" xfId="0" applyFont="1" applyBorder="1" applyAlignment="1">
      <alignment horizontal="center" vertical="center"/>
    </xf>
    <xf numFmtId="1" fontId="86" fillId="6" borderId="0" xfId="0" applyNumberFormat="1" applyFont="1" applyFill="1" applyAlignment="1">
      <alignment horizontal="center" vertical="center"/>
    </xf>
    <xf numFmtId="1" fontId="87" fillId="0" borderId="0" xfId="0" applyNumberFormat="1" applyFont="1" applyAlignment="1">
      <alignment horizontal="center" vertical="center"/>
    </xf>
    <xf numFmtId="0" fontId="88" fillId="0" borderId="40" xfId="0" applyFont="1" applyBorder="1" applyAlignment="1">
      <alignment horizontal="center" vertical="center"/>
    </xf>
    <xf numFmtId="0" fontId="79" fillId="4" borderId="40" xfId="0" applyFont="1" applyFill="1" applyBorder="1" applyAlignment="1">
      <alignment horizontal="center" vertical="center"/>
    </xf>
    <xf numFmtId="173" fontId="89" fillId="0" borderId="40" xfId="0" applyNumberFormat="1" applyFont="1" applyBorder="1" applyAlignment="1">
      <alignment horizontal="center" vertical="center"/>
    </xf>
    <xf numFmtId="0" fontId="90" fillId="0" borderId="40" xfId="0" applyFont="1" applyBorder="1" applyAlignment="1">
      <alignment horizontal="center"/>
    </xf>
    <xf numFmtId="0" fontId="91" fillId="0" borderId="54" xfId="0" applyFont="1" applyBorder="1" applyAlignment="1">
      <alignment horizontal="center"/>
    </xf>
    <xf numFmtId="0" fontId="2" fillId="0" borderId="0" xfId="0" applyFont="1" applyAlignment="1">
      <alignment vertical="center"/>
    </xf>
    <xf numFmtId="191" fontId="92" fillId="7" borderId="2" xfId="8" applyNumberFormat="1" applyFont="1" applyFill="1" applyBorder="1" applyAlignment="1" applyProtection="1">
      <alignment horizontal="center" vertical="center"/>
      <protection locked="0"/>
    </xf>
    <xf numFmtId="0" fontId="7" fillId="0" borderId="0" xfId="8" applyAlignment="1">
      <alignment horizontal="center" vertical="center"/>
    </xf>
    <xf numFmtId="0" fontId="52" fillId="0" borderId="7" xfId="8" applyFont="1" applyBorder="1" applyAlignment="1">
      <alignment horizontal="center" vertical="center" wrapText="1"/>
    </xf>
    <xf numFmtId="0" fontId="52" fillId="0" borderId="55" xfId="8" applyFont="1" applyBorder="1" applyAlignment="1">
      <alignment horizontal="center" vertical="center" wrapText="1"/>
    </xf>
    <xf numFmtId="0" fontId="52" fillId="0" borderId="6" xfId="8" applyFont="1" applyBorder="1" applyAlignment="1">
      <alignment horizontal="center" vertical="center" wrapText="1"/>
    </xf>
    <xf numFmtId="0" fontId="24" fillId="0" borderId="0" xfId="8" applyFont="1" applyAlignment="1">
      <alignment horizontal="center" vertical="center"/>
    </xf>
    <xf numFmtId="2" fontId="73" fillId="8" borderId="56" xfId="8" applyNumberFormat="1" applyFont="1" applyFill="1" applyBorder="1" applyAlignment="1">
      <alignment horizontal="center" vertical="center"/>
    </xf>
    <xf numFmtId="2" fontId="73" fillId="8" borderId="57" xfId="8" applyNumberFormat="1" applyFont="1" applyFill="1" applyBorder="1" applyAlignment="1">
      <alignment horizontal="center" vertical="center"/>
    </xf>
    <xf numFmtId="0" fontId="24" fillId="23" borderId="0" xfId="8" applyFont="1" applyFill="1" applyAlignment="1">
      <alignment horizontal="center" vertical="center"/>
    </xf>
    <xf numFmtId="170" fontId="24" fillId="0" borderId="0" xfId="8" applyNumberFormat="1" applyFont="1" applyAlignment="1">
      <alignment horizontal="center" vertical="center"/>
    </xf>
    <xf numFmtId="10" fontId="52" fillId="0" borderId="0" xfId="8" applyNumberFormat="1" applyFont="1" applyAlignment="1">
      <alignment horizontal="center" vertical="center"/>
    </xf>
    <xf numFmtId="10" fontId="7" fillId="0" borderId="0" xfId="8" applyNumberFormat="1" applyAlignment="1">
      <alignment horizontal="center" vertical="center"/>
    </xf>
    <xf numFmtId="0" fontId="44" fillId="22" borderId="26" xfId="0" applyFont="1" applyFill="1" applyBorder="1"/>
    <xf numFmtId="0" fontId="0" fillId="0" borderId="26" xfId="0" applyBorder="1"/>
    <xf numFmtId="0" fontId="25" fillId="9" borderId="0" xfId="7" applyFill="1" applyAlignment="1">
      <alignment horizontal="center"/>
    </xf>
    <xf numFmtId="0" fontId="26" fillId="9" borderId="0" xfId="7" applyFont="1" applyFill="1" applyAlignment="1">
      <alignment horizontal="center"/>
    </xf>
    <xf numFmtId="0" fontId="27" fillId="9" borderId="0" xfId="7" applyFont="1" applyFill="1" applyAlignment="1">
      <alignment horizontal="center"/>
    </xf>
    <xf numFmtId="0" fontId="28" fillId="9" borderId="0" xfId="7" applyFont="1" applyFill="1" applyAlignment="1">
      <alignment horizontal="center"/>
    </xf>
    <xf numFmtId="2" fontId="28" fillId="9" borderId="0" xfId="7" applyNumberFormat="1" applyFont="1" applyFill="1" applyAlignment="1">
      <alignment horizontal="center"/>
    </xf>
    <xf numFmtId="0" fontId="26" fillId="0" borderId="58" xfId="7" applyFont="1" applyBorder="1" applyAlignment="1">
      <alignment horizontal="center"/>
    </xf>
    <xf numFmtId="0" fontId="26" fillId="0" borderId="59" xfId="7" applyFont="1" applyBorder="1" applyAlignment="1">
      <alignment horizontal="center"/>
    </xf>
    <xf numFmtId="0" fontId="30" fillId="10" borderId="60" xfId="7" applyFont="1" applyFill="1" applyBorder="1" applyAlignment="1">
      <alignment horizontal="center"/>
    </xf>
    <xf numFmtId="0" fontId="26" fillId="0" borderId="61" xfId="7" applyFont="1" applyBorder="1" applyAlignment="1" applyProtection="1">
      <alignment horizontal="center"/>
      <protection locked="0"/>
    </xf>
    <xf numFmtId="0" fontId="26" fillId="0" borderId="62" xfId="7" applyFont="1" applyBorder="1" applyAlignment="1" applyProtection="1">
      <alignment horizontal="center"/>
      <protection locked="0"/>
    </xf>
    <xf numFmtId="173" fontId="30" fillId="10" borderId="63" xfId="7" applyNumberFormat="1" applyFont="1" applyFill="1" applyBorder="1" applyAlignment="1">
      <alignment horizontal="center"/>
    </xf>
    <xf numFmtId="1" fontId="28" fillId="9" borderId="0" xfId="7" applyNumberFormat="1" applyFont="1" applyFill="1" applyAlignment="1">
      <alignment horizontal="center"/>
    </xf>
    <xf numFmtId="45" fontId="25" fillId="9" borderId="0" xfId="7" applyNumberFormat="1" applyFill="1" applyAlignment="1">
      <alignment horizontal="center"/>
    </xf>
    <xf numFmtId="173" fontId="26" fillId="0" borderId="61" xfId="7" applyNumberFormat="1" applyFont="1" applyBorder="1" applyAlignment="1" applyProtection="1">
      <alignment horizontal="center"/>
      <protection locked="0"/>
    </xf>
    <xf numFmtId="21" fontId="30" fillId="10" borderId="63" xfId="7" applyNumberFormat="1" applyFont="1" applyFill="1" applyBorder="1" applyAlignment="1">
      <alignment horizontal="center"/>
    </xf>
    <xf numFmtId="0" fontId="31" fillId="9" borderId="0" xfId="7" applyFont="1" applyFill="1" applyAlignment="1">
      <alignment horizontal="center"/>
    </xf>
    <xf numFmtId="0" fontId="32" fillId="9" borderId="0" xfId="7" applyFont="1" applyFill="1" applyAlignment="1">
      <alignment horizontal="center"/>
    </xf>
    <xf numFmtId="173" fontId="28" fillId="9" borderId="0" xfId="7" applyNumberFormat="1" applyFont="1" applyFill="1" applyAlignment="1">
      <alignment horizontal="center"/>
    </xf>
    <xf numFmtId="0" fontId="29" fillId="22" borderId="59" xfId="7" applyFont="1" applyFill="1" applyBorder="1" applyAlignment="1">
      <alignment horizontal="center"/>
    </xf>
    <xf numFmtId="21" fontId="29" fillId="22" borderId="62" xfId="7" applyNumberFormat="1" applyFont="1" applyFill="1" applyBorder="1" applyAlignment="1">
      <alignment horizontal="center"/>
    </xf>
    <xf numFmtId="0" fontId="29" fillId="22" borderId="62" xfId="7" applyFont="1" applyFill="1" applyBorder="1" applyAlignment="1">
      <alignment horizontal="center"/>
    </xf>
    <xf numFmtId="1" fontId="29" fillId="22" borderId="62" xfId="7" applyNumberFormat="1" applyFont="1" applyFill="1" applyBorder="1" applyAlignment="1">
      <alignment horizontal="center"/>
    </xf>
    <xf numFmtId="0" fontId="8" fillId="0" borderId="0" xfId="8" applyFont="1" applyAlignment="1">
      <alignment horizontal="center"/>
    </xf>
    <xf numFmtId="0" fontId="7" fillId="0" borderId="0" xfId="8" applyAlignment="1">
      <alignment horizontal="left"/>
    </xf>
    <xf numFmtId="10" fontId="7" fillId="0" borderId="0" xfId="8" applyNumberFormat="1" applyAlignment="1">
      <alignment horizontal="center"/>
    </xf>
    <xf numFmtId="0" fontId="8" fillId="0" borderId="0" xfId="8" applyFont="1"/>
    <xf numFmtId="10" fontId="8" fillId="0" borderId="0" xfId="8" applyNumberFormat="1" applyFont="1" applyAlignment="1">
      <alignment horizontal="center"/>
    </xf>
    <xf numFmtId="0" fontId="0" fillId="0" borderId="26" xfId="0" applyBorder="1" applyAlignment="1">
      <alignment vertical="center"/>
    </xf>
    <xf numFmtId="0" fontId="2" fillId="0" borderId="0" xfId="8" applyFont="1" applyAlignment="1">
      <alignment vertical="center"/>
    </xf>
    <xf numFmtId="0" fontId="69" fillId="37" borderId="15" xfId="8" applyFont="1" applyFill="1" applyBorder="1" applyAlignment="1">
      <alignment horizontal="center"/>
    </xf>
    <xf numFmtId="0" fontId="93" fillId="25" borderId="15" xfId="8" applyFont="1" applyFill="1" applyBorder="1" applyAlignment="1">
      <alignment horizontal="center"/>
    </xf>
    <xf numFmtId="12" fontId="54" fillId="29" borderId="64" xfId="8" applyNumberFormat="1" applyFont="1" applyFill="1" applyBorder="1" applyAlignment="1">
      <alignment horizontal="right" vertical="center"/>
    </xf>
    <xf numFmtId="12" fontId="54" fillId="29" borderId="29" xfId="8" applyNumberFormat="1" applyFont="1" applyFill="1" applyBorder="1" applyAlignment="1">
      <alignment horizontal="center" vertical="center"/>
    </xf>
    <xf numFmtId="12" fontId="54" fillId="29" borderId="30" xfId="8" applyNumberFormat="1" applyFont="1" applyFill="1" applyBorder="1" applyAlignment="1">
      <alignment horizontal="left"/>
    </xf>
    <xf numFmtId="2" fontId="54" fillId="29" borderId="28" xfId="8" applyNumberFormat="1" applyFont="1" applyFill="1" applyBorder="1" applyAlignment="1">
      <alignment horizontal="right"/>
    </xf>
    <xf numFmtId="0" fontId="54" fillId="29" borderId="29" xfId="8" applyFont="1" applyFill="1" applyBorder="1" applyAlignment="1">
      <alignment horizontal="center"/>
    </xf>
    <xf numFmtId="2" fontId="54" fillId="29" borderId="30" xfId="8" applyNumberFormat="1" applyFont="1" applyFill="1" applyBorder="1" applyAlignment="1">
      <alignment horizontal="left"/>
    </xf>
    <xf numFmtId="0" fontId="54" fillId="29" borderId="26" xfId="8" applyFont="1" applyFill="1" applyBorder="1" applyAlignment="1">
      <alignment horizontal="center"/>
    </xf>
    <xf numFmtId="192" fontId="7" fillId="0" borderId="0" xfId="8" applyNumberFormat="1"/>
    <xf numFmtId="12" fontId="54" fillId="29" borderId="65" xfId="8" applyNumberFormat="1" applyFont="1" applyFill="1" applyBorder="1" applyAlignment="1">
      <alignment horizontal="right" vertical="center"/>
    </xf>
    <xf numFmtId="12" fontId="54" fillId="29" borderId="66" xfId="8" applyNumberFormat="1" applyFont="1" applyFill="1" applyBorder="1" applyAlignment="1">
      <alignment horizontal="center" vertical="center"/>
    </xf>
    <xf numFmtId="12" fontId="54" fillId="29" borderId="35" xfId="8" applyNumberFormat="1" applyFont="1" applyFill="1" applyBorder="1" applyAlignment="1">
      <alignment horizontal="left"/>
    </xf>
    <xf numFmtId="2" fontId="54" fillId="29" borderId="34" xfId="8" applyNumberFormat="1" applyFont="1" applyFill="1" applyBorder="1" applyAlignment="1">
      <alignment horizontal="right"/>
    </xf>
    <xf numFmtId="0" fontId="54" fillId="29" borderId="66" xfId="8" applyFont="1" applyFill="1" applyBorder="1" applyAlignment="1">
      <alignment horizontal="center"/>
    </xf>
    <xf numFmtId="2" fontId="54" fillId="29" borderId="35" xfId="8" applyNumberFormat="1" applyFont="1" applyFill="1" applyBorder="1" applyAlignment="1">
      <alignment horizontal="left"/>
    </xf>
    <xf numFmtId="0" fontId="7" fillId="0" borderId="0" xfId="8" applyAlignment="1">
      <alignment wrapText="1"/>
    </xf>
    <xf numFmtId="0" fontId="94" fillId="38" borderId="17" xfId="8" applyFont="1" applyFill="1" applyBorder="1" applyAlignment="1">
      <alignment horizontal="center" vertical="center"/>
    </xf>
    <xf numFmtId="0" fontId="94" fillId="38" borderId="18" xfId="8" applyFont="1" applyFill="1" applyBorder="1" applyAlignment="1">
      <alignment horizontal="center" vertical="center"/>
    </xf>
    <xf numFmtId="0" fontId="94" fillId="38" borderId="19" xfId="8" applyFont="1" applyFill="1" applyBorder="1" applyAlignment="1">
      <alignment horizontal="center" vertical="center"/>
    </xf>
    <xf numFmtId="12" fontId="54" fillId="29" borderId="11" xfId="8" applyNumberFormat="1" applyFont="1" applyFill="1" applyBorder="1" applyAlignment="1">
      <alignment horizontal="right" vertical="center"/>
    </xf>
    <xf numFmtId="12" fontId="54" fillId="29" borderId="12" xfId="8" applyNumberFormat="1" applyFont="1" applyFill="1" applyBorder="1" applyAlignment="1">
      <alignment horizontal="center" vertical="center"/>
    </xf>
    <xf numFmtId="12" fontId="54" fillId="29" borderId="13" xfId="8" applyNumberFormat="1" applyFont="1" applyFill="1" applyBorder="1" applyAlignment="1">
      <alignment horizontal="left"/>
    </xf>
    <xf numFmtId="2" fontId="54" fillId="29" borderId="21" xfId="8" applyNumberFormat="1" applyFont="1" applyFill="1" applyBorder="1" applyAlignment="1">
      <alignment horizontal="right"/>
    </xf>
    <xf numFmtId="0" fontId="54" fillId="29" borderId="12" xfId="8" applyFont="1" applyFill="1" applyBorder="1" applyAlignment="1">
      <alignment horizontal="center"/>
    </xf>
    <xf numFmtId="2" fontId="54" fillId="29" borderId="13" xfId="8" applyNumberFormat="1" applyFont="1" applyFill="1" applyBorder="1" applyAlignment="1">
      <alignment horizontal="left"/>
    </xf>
    <xf numFmtId="171" fontId="95" fillId="0" borderId="9" xfId="8" applyNumberFormat="1" applyFont="1" applyBorder="1" applyAlignment="1" applyProtection="1">
      <alignment horizontal="center" vertical="center"/>
      <protection locked="0"/>
    </xf>
    <xf numFmtId="171" fontId="95" fillId="0" borderId="10" xfId="8" applyNumberFormat="1" applyFont="1" applyBorder="1" applyAlignment="1" applyProtection="1">
      <alignment horizontal="center" vertical="center"/>
      <protection locked="0"/>
    </xf>
    <xf numFmtId="177" fontId="75" fillId="29" borderId="16" xfId="8" applyNumberFormat="1" applyFont="1" applyFill="1" applyBorder="1" applyAlignment="1">
      <alignment horizontal="center" vertical="center"/>
    </xf>
    <xf numFmtId="193" fontId="7" fillId="0" borderId="0" xfId="8" applyNumberFormat="1"/>
    <xf numFmtId="0" fontId="54" fillId="0" borderId="26" xfId="8" applyFont="1" applyBorder="1"/>
    <xf numFmtId="0" fontId="69" fillId="38" borderId="26" xfId="8" applyFont="1" applyFill="1" applyBorder="1" applyAlignment="1">
      <alignment horizontal="center" vertical="center"/>
    </xf>
    <xf numFmtId="0" fontId="93" fillId="25" borderId="26" xfId="8" applyFont="1" applyFill="1" applyBorder="1" applyAlignment="1">
      <alignment horizontal="center" vertical="center"/>
    </xf>
    <xf numFmtId="194" fontId="54" fillId="0" borderId="34" xfId="8" applyNumberFormat="1" applyFont="1" applyBorder="1"/>
    <xf numFmtId="0" fontId="54" fillId="29" borderId="34" xfId="8" applyFont="1" applyFill="1" applyBorder="1"/>
    <xf numFmtId="0" fontId="54" fillId="29" borderId="66" xfId="8" applyFont="1" applyFill="1" applyBorder="1"/>
    <xf numFmtId="0" fontId="54" fillId="29" borderId="35" xfId="8" applyFont="1" applyFill="1" applyBorder="1" applyAlignment="1">
      <alignment horizontal="center"/>
    </xf>
    <xf numFmtId="2" fontId="54" fillId="29" borderId="26" xfId="8" applyNumberFormat="1" applyFont="1" applyFill="1" applyBorder="1" applyAlignment="1">
      <alignment horizontal="center"/>
    </xf>
    <xf numFmtId="0" fontId="54" fillId="29" borderId="25" xfId="8" applyFont="1" applyFill="1" applyBorder="1"/>
    <xf numFmtId="0" fontId="54" fillId="29" borderId="0" xfId="8" applyFont="1" applyFill="1"/>
    <xf numFmtId="12" fontId="54" fillId="29" borderId="27" xfId="8" applyNumberFormat="1" applyFont="1" applyFill="1" applyBorder="1" applyAlignment="1">
      <alignment horizontal="left"/>
    </xf>
    <xf numFmtId="0" fontId="54" fillId="29" borderId="22" xfId="8" applyFont="1" applyFill="1" applyBorder="1"/>
    <xf numFmtId="0" fontId="54" fillId="29" borderId="23" xfId="8" applyFont="1" applyFill="1" applyBorder="1"/>
    <xf numFmtId="12" fontId="54" fillId="29" borderId="24" xfId="8" applyNumberFormat="1" applyFont="1" applyFill="1" applyBorder="1" applyAlignment="1">
      <alignment horizontal="left"/>
    </xf>
    <xf numFmtId="0" fontId="2" fillId="0" borderId="0" xfId="8" applyFont="1"/>
    <xf numFmtId="12" fontId="7" fillId="0" borderId="0" xfId="8" applyNumberFormat="1"/>
    <xf numFmtId="0" fontId="94" fillId="38" borderId="67" xfId="8" applyFont="1" applyFill="1" applyBorder="1" applyAlignment="1">
      <alignment horizontal="center" vertical="center"/>
    </xf>
    <xf numFmtId="171" fontId="95" fillId="0" borderId="13" xfId="8" applyNumberFormat="1" applyFont="1" applyBorder="1" applyAlignment="1" applyProtection="1">
      <alignment horizontal="center" vertical="center"/>
      <protection locked="0"/>
    </xf>
    <xf numFmtId="0" fontId="77" fillId="37" borderId="17" xfId="8" applyFont="1" applyFill="1" applyBorder="1" applyAlignment="1">
      <alignment horizontal="center" vertical="center"/>
    </xf>
    <xf numFmtId="0" fontId="77" fillId="37" borderId="18" xfId="8" applyFont="1" applyFill="1" applyBorder="1" applyAlignment="1">
      <alignment horizontal="center" vertical="center"/>
    </xf>
    <xf numFmtId="0" fontId="77" fillId="37" borderId="19" xfId="8" applyFont="1" applyFill="1" applyBorder="1" applyAlignment="1">
      <alignment horizontal="center" vertical="center"/>
    </xf>
    <xf numFmtId="0" fontId="7" fillId="37" borderId="0" xfId="8" applyFill="1"/>
    <xf numFmtId="0" fontId="61" fillId="0" borderId="0" xfId="10" applyFont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94" fillId="38" borderId="36" xfId="8" applyFont="1" applyFill="1" applyBorder="1" applyAlignment="1">
      <alignment horizontal="center" vertical="center"/>
    </xf>
    <xf numFmtId="166" fontId="95" fillId="29" borderId="9" xfId="8" applyNumberFormat="1" applyFont="1" applyFill="1" applyBorder="1" applyAlignment="1">
      <alignment horizontal="center" vertical="center"/>
    </xf>
    <xf numFmtId="166" fontId="95" fillId="29" borderId="11" xfId="8" applyNumberFormat="1" applyFont="1" applyFill="1" applyBorder="1" applyAlignment="1">
      <alignment horizontal="center" vertical="center"/>
    </xf>
    <xf numFmtId="13" fontId="95" fillId="0" borderId="11" xfId="8" applyNumberFormat="1" applyFont="1" applyBorder="1" applyAlignment="1" applyProtection="1">
      <alignment horizontal="center" vertical="center"/>
      <protection locked="0"/>
    </xf>
    <xf numFmtId="0" fontId="96" fillId="36" borderId="8" xfId="0" applyFont="1" applyFill="1" applyBorder="1"/>
    <xf numFmtId="0" fontId="96" fillId="36" borderId="7" xfId="0" applyFont="1" applyFill="1" applyBorder="1"/>
    <xf numFmtId="0" fontId="96" fillId="36" borderId="6" xfId="0" applyFont="1" applyFill="1" applyBorder="1"/>
    <xf numFmtId="0" fontId="96" fillId="36" borderId="1" xfId="0" applyFont="1" applyFill="1" applyBorder="1"/>
    <xf numFmtId="0" fontId="0" fillId="0" borderId="26" xfId="0" applyBorder="1" applyAlignment="1">
      <alignment horizontal="center" vertical="center"/>
    </xf>
    <xf numFmtId="0" fontId="79" fillId="0" borderId="52" xfId="0" applyFont="1" applyBorder="1" applyAlignment="1">
      <alignment horizontal="center" vertical="center"/>
    </xf>
    <xf numFmtId="0" fontId="80" fillId="0" borderId="52" xfId="0" applyFont="1" applyBorder="1" applyAlignment="1">
      <alignment horizontal="center" vertical="center"/>
    </xf>
    <xf numFmtId="0" fontId="80" fillId="0" borderId="68" xfId="0" applyFont="1" applyBorder="1" applyAlignment="1">
      <alignment horizontal="center" vertical="center"/>
    </xf>
    <xf numFmtId="0" fontId="97" fillId="39" borderId="22" xfId="0" applyFont="1" applyFill="1" applyBorder="1" applyAlignment="1" applyProtection="1">
      <alignment vertical="center"/>
      <protection locked="0"/>
    </xf>
    <xf numFmtId="0" fontId="97" fillId="39" borderId="23" xfId="0" applyFont="1" applyFill="1" applyBorder="1" applyAlignment="1" applyProtection="1">
      <alignment vertical="center"/>
      <protection locked="0"/>
    </xf>
    <xf numFmtId="0" fontId="98" fillId="21" borderId="23" xfId="0" applyFont="1" applyFill="1" applyBorder="1" applyAlignment="1">
      <alignment vertical="center"/>
    </xf>
    <xf numFmtId="0" fontId="98" fillId="21" borderId="24" xfId="0" applyFont="1" applyFill="1" applyBorder="1" applyAlignment="1">
      <alignment vertical="center"/>
    </xf>
    <xf numFmtId="0" fontId="80" fillId="0" borderId="26" xfId="0" applyFont="1" applyBorder="1" applyAlignment="1">
      <alignment horizontal="center" vertical="center"/>
    </xf>
    <xf numFmtId="0" fontId="79" fillId="0" borderId="26" xfId="0" applyFont="1" applyBorder="1" applyAlignment="1">
      <alignment horizontal="center" vertical="center"/>
    </xf>
    <xf numFmtId="0" fontId="81" fillId="0" borderId="26" xfId="0" applyFont="1" applyBorder="1" applyAlignment="1">
      <alignment horizontal="center" vertical="center"/>
    </xf>
    <xf numFmtId="0" fontId="79" fillId="4" borderId="26" xfId="0" applyFont="1" applyFill="1" applyBorder="1" applyAlignment="1">
      <alignment horizontal="center" vertical="center"/>
    </xf>
    <xf numFmtId="188" fontId="79" fillId="4" borderId="26" xfId="0" applyNumberFormat="1" applyFont="1" applyFill="1" applyBorder="1" applyAlignment="1">
      <alignment horizontal="center" vertical="center"/>
    </xf>
    <xf numFmtId="0" fontId="79" fillId="0" borderId="26" xfId="0" applyFont="1" applyBorder="1"/>
    <xf numFmtId="0" fontId="85" fillId="0" borderId="26" xfId="0" applyFont="1" applyBorder="1" applyAlignment="1">
      <alignment horizontal="center" vertical="center"/>
    </xf>
    <xf numFmtId="1" fontId="87" fillId="0" borderId="26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0" fillId="0" borderId="23" xfId="0" applyBorder="1"/>
    <xf numFmtId="0" fontId="90" fillId="0" borderId="69" xfId="0" applyFont="1" applyBorder="1" applyAlignment="1">
      <alignment horizontal="center"/>
    </xf>
    <xf numFmtId="0" fontId="0" fillId="36" borderId="5" xfId="0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 textRotation="180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9" fillId="36" borderId="70" xfId="0" applyFont="1" applyFill="1" applyBorder="1"/>
    <xf numFmtId="0" fontId="99" fillId="36" borderId="71" xfId="0" applyFont="1" applyFill="1" applyBorder="1"/>
    <xf numFmtId="195" fontId="99" fillId="36" borderId="71" xfId="0" applyNumberFormat="1" applyFont="1" applyFill="1" applyBorder="1" applyAlignment="1">
      <alignment horizontal="center"/>
    </xf>
    <xf numFmtId="171" fontId="99" fillId="36" borderId="71" xfId="0" applyNumberFormat="1" applyFont="1" applyFill="1" applyBorder="1" applyAlignment="1">
      <alignment horizontal="left"/>
    </xf>
    <xf numFmtId="187" fontId="99" fillId="36" borderId="71" xfId="0" applyNumberFormat="1" applyFont="1" applyFill="1" applyBorder="1"/>
    <xf numFmtId="0" fontId="99" fillId="36" borderId="71" xfId="0" applyFont="1" applyFill="1" applyBorder="1" applyAlignment="1">
      <alignment horizontal="center"/>
    </xf>
    <xf numFmtId="0" fontId="99" fillId="36" borderId="72" xfId="0" applyFont="1" applyFill="1" applyBorder="1"/>
    <xf numFmtId="1" fontId="100" fillId="6" borderId="0" xfId="0" applyNumberFormat="1" applyFont="1" applyFill="1" applyAlignment="1">
      <alignment horizontal="center" vertical="center"/>
    </xf>
    <xf numFmtId="1" fontId="100" fillId="6" borderId="26" xfId="0" applyNumberFormat="1" applyFont="1" applyFill="1" applyBorder="1" applyAlignment="1">
      <alignment horizontal="center" vertical="center"/>
    </xf>
    <xf numFmtId="0" fontId="77" fillId="36" borderId="0" xfId="0" applyFont="1" applyFill="1" applyAlignment="1">
      <alignment vertical="center"/>
    </xf>
    <xf numFmtId="0" fontId="77" fillId="36" borderId="4" xfId="0" applyFont="1" applyFill="1" applyBorder="1" applyAlignment="1">
      <alignment vertical="center"/>
    </xf>
    <xf numFmtId="0" fontId="77" fillId="36" borderId="3" xfId="0" applyFont="1" applyFill="1" applyBorder="1" applyAlignment="1">
      <alignment horizontal="center" vertical="center"/>
    </xf>
    <xf numFmtId="0" fontId="77" fillId="36" borderId="2" xfId="0" applyFont="1" applyFill="1" applyBorder="1" applyAlignment="1">
      <alignment vertical="center"/>
    </xf>
    <xf numFmtId="0" fontId="77" fillId="36" borderId="1" xfId="0" applyFont="1" applyFill="1" applyBorder="1" applyAlignment="1">
      <alignment vertical="center"/>
    </xf>
    <xf numFmtId="0" fontId="101" fillId="36" borderId="5" xfId="0" applyFont="1" applyFill="1" applyBorder="1" applyAlignment="1">
      <alignment horizontal="center" vertical="center"/>
    </xf>
    <xf numFmtId="0" fontId="54" fillId="26" borderId="38" xfId="0" applyFont="1" applyFill="1" applyBorder="1" applyAlignment="1">
      <alignment vertical="center"/>
    </xf>
    <xf numFmtId="0" fontId="102" fillId="25" borderId="26" xfId="0" applyFont="1" applyFill="1" applyBorder="1" applyAlignment="1">
      <alignment horizontal="center" vertical="center"/>
    </xf>
    <xf numFmtId="173" fontId="45" fillId="25" borderId="26" xfId="0" applyNumberFormat="1" applyFont="1" applyFill="1" applyBorder="1" applyAlignment="1">
      <alignment horizontal="center" vertical="center"/>
    </xf>
    <xf numFmtId="173" fontId="69" fillId="25" borderId="26" xfId="0" applyNumberFormat="1" applyFont="1" applyFill="1" applyBorder="1" applyAlignment="1">
      <alignment horizontal="center" vertical="center"/>
    </xf>
    <xf numFmtId="0" fontId="102" fillId="25" borderId="40" xfId="0" applyFont="1" applyFill="1" applyBorder="1" applyAlignment="1">
      <alignment horizontal="center" vertical="center"/>
    </xf>
    <xf numFmtId="173" fontId="45" fillId="25" borderId="40" xfId="0" applyNumberFormat="1" applyFont="1" applyFill="1" applyBorder="1" applyAlignment="1">
      <alignment horizontal="center" vertical="center"/>
    </xf>
    <xf numFmtId="0" fontId="77" fillId="36" borderId="4" xfId="0" applyFont="1" applyFill="1" applyBorder="1" applyAlignment="1">
      <alignment horizontal="center" vertical="center"/>
    </xf>
    <xf numFmtId="0" fontId="79" fillId="40" borderId="26" xfId="0" applyFont="1" applyFill="1" applyBorder="1" applyAlignment="1">
      <alignment horizontal="right" vertical="center"/>
    </xf>
    <xf numFmtId="1" fontId="54" fillId="40" borderId="26" xfId="0" applyNumberFormat="1" applyFont="1" applyFill="1" applyBorder="1" applyAlignment="1">
      <alignment horizontal="center" vertical="center"/>
    </xf>
    <xf numFmtId="0" fontId="79" fillId="40" borderId="40" xfId="0" applyFont="1" applyFill="1" applyBorder="1" applyAlignment="1">
      <alignment horizontal="right" vertical="center"/>
    </xf>
    <xf numFmtId="1" fontId="54" fillId="40" borderId="40" xfId="0" applyNumberFormat="1" applyFont="1" applyFill="1" applyBorder="1" applyAlignment="1">
      <alignment horizontal="center" vertical="center"/>
    </xf>
    <xf numFmtId="0" fontId="103" fillId="26" borderId="37" xfId="0" applyFont="1" applyFill="1" applyBorder="1" applyAlignment="1">
      <alignment horizontal="center" vertical="center"/>
    </xf>
    <xf numFmtId="0" fontId="104" fillId="41" borderId="40" xfId="0" applyFont="1" applyFill="1" applyBorder="1" applyAlignment="1">
      <alignment horizontal="center" vertical="center"/>
    </xf>
    <xf numFmtId="0" fontId="104" fillId="41" borderId="73" xfId="0" applyFont="1" applyFill="1" applyBorder="1" applyAlignment="1">
      <alignment horizontal="center" vertical="center"/>
    </xf>
    <xf numFmtId="170" fontId="77" fillId="36" borderId="0" xfId="0" applyNumberFormat="1" applyFont="1" applyFill="1" applyAlignment="1">
      <alignment vertical="center"/>
    </xf>
    <xf numFmtId="2" fontId="7" fillId="0" borderId="0" xfId="8" applyNumberFormat="1" applyAlignment="1">
      <alignment horizontal="left" indent="3"/>
    </xf>
    <xf numFmtId="2" fontId="18" fillId="0" borderId="0" xfId="8" applyNumberFormat="1" applyFont="1" applyAlignment="1">
      <alignment horizontal="center"/>
    </xf>
    <xf numFmtId="0" fontId="7" fillId="0" borderId="0" xfId="8" applyAlignment="1">
      <alignment horizontal="center"/>
    </xf>
    <xf numFmtId="0" fontId="35" fillId="0" borderId="0" xfId="8" applyFont="1" applyAlignment="1">
      <alignment vertical="center"/>
    </xf>
    <xf numFmtId="0" fontId="36" fillId="0" borderId="0" xfId="8" applyFont="1" applyAlignment="1">
      <alignment vertical="center"/>
    </xf>
    <xf numFmtId="0" fontId="52" fillId="0" borderId="0" xfId="8" applyFont="1" applyAlignment="1">
      <alignment horizontal="center"/>
    </xf>
    <xf numFmtId="0" fontId="54" fillId="0" borderId="74" xfId="8" applyFont="1" applyBorder="1" applyAlignment="1">
      <alignment horizontal="center"/>
    </xf>
    <xf numFmtId="0" fontId="54" fillId="0" borderId="75" xfId="8" applyFont="1" applyBorder="1" applyAlignment="1">
      <alignment horizontal="center"/>
    </xf>
    <xf numFmtId="0" fontId="19" fillId="0" borderId="0" xfId="8" applyFont="1" applyAlignment="1">
      <alignment horizontal="center" vertical="center"/>
    </xf>
    <xf numFmtId="0" fontId="19" fillId="42" borderId="0" xfId="8" applyFont="1" applyFill="1" applyAlignment="1">
      <alignment horizontal="center" vertical="center"/>
    </xf>
    <xf numFmtId="0" fontId="37" fillId="0" borderId="0" xfId="8" applyFont="1" applyAlignment="1">
      <alignment horizontal="center"/>
    </xf>
    <xf numFmtId="0" fontId="38" fillId="0" borderId="0" xfId="8" applyFont="1" applyAlignment="1">
      <alignment horizontal="center"/>
    </xf>
    <xf numFmtId="0" fontId="73" fillId="0" borderId="17" xfId="8" applyFont="1" applyBorder="1" applyAlignment="1">
      <alignment horizontal="center" vertical="center"/>
    </xf>
    <xf numFmtId="0" fontId="73" fillId="0" borderId="18" xfId="8" applyFont="1" applyBorder="1" applyAlignment="1">
      <alignment horizontal="left" vertical="center"/>
    </xf>
    <xf numFmtId="173" fontId="74" fillId="22" borderId="19" xfId="8" applyNumberFormat="1" applyFont="1" applyFill="1" applyBorder="1" applyAlignment="1">
      <alignment vertical="center"/>
    </xf>
    <xf numFmtId="199" fontId="54" fillId="29" borderId="35" xfId="8" applyNumberFormat="1" applyFont="1" applyFill="1" applyBorder="1" applyAlignment="1">
      <alignment horizontal="left"/>
    </xf>
    <xf numFmtId="0" fontId="7" fillId="21" borderId="0" xfId="8" applyFill="1"/>
    <xf numFmtId="0" fontId="63" fillId="21" borderId="0" xfId="6" applyFont="1" applyFill="1"/>
    <xf numFmtId="0" fontId="67" fillId="32" borderId="38" xfId="4" applyFont="1" applyFill="1" applyBorder="1" applyAlignment="1">
      <alignment horizontal="center" vertical="center" wrapText="1"/>
    </xf>
    <xf numFmtId="0" fontId="64" fillId="32" borderId="0" xfId="4" applyFont="1" applyFill="1" applyAlignment="1">
      <alignment vertical="center" wrapText="1"/>
    </xf>
    <xf numFmtId="0" fontId="67" fillId="32" borderId="38" xfId="4" applyFont="1" applyFill="1" applyBorder="1" applyAlignment="1">
      <alignment horizontal="center" vertical="center"/>
    </xf>
    <xf numFmtId="0" fontId="64" fillId="32" borderId="0" xfId="4" applyFont="1" applyFill="1" applyAlignment="1">
      <alignment vertical="center"/>
    </xf>
    <xf numFmtId="0" fontId="64" fillId="32" borderId="5" xfId="4" applyFont="1" applyFill="1" applyBorder="1" applyAlignment="1">
      <alignment horizontal="center" vertical="center"/>
    </xf>
    <xf numFmtId="0" fontId="67" fillId="32" borderId="0" xfId="4" applyFont="1" applyFill="1" applyAlignment="1">
      <alignment horizontal="center" vertical="center"/>
    </xf>
    <xf numFmtId="0" fontId="105" fillId="23" borderId="36" xfId="4" applyFont="1" applyFill="1" applyBorder="1" applyAlignment="1">
      <alignment horizontal="center" vertical="center"/>
    </xf>
    <xf numFmtId="0" fontId="106" fillId="32" borderId="0" xfId="4" applyFont="1" applyFill="1" applyAlignment="1">
      <alignment horizontal="center" vertical="center"/>
    </xf>
    <xf numFmtId="0" fontId="67" fillId="25" borderId="37" xfId="4" applyFont="1" applyFill="1" applyBorder="1" applyAlignment="1">
      <alignment horizontal="center" vertical="center"/>
    </xf>
    <xf numFmtId="0" fontId="64" fillId="23" borderId="37" xfId="4" applyFont="1" applyFill="1" applyBorder="1" applyAlignment="1">
      <alignment horizontal="center" vertical="center" wrapText="1"/>
    </xf>
    <xf numFmtId="0" fontId="67" fillId="43" borderId="8" xfId="4" applyFont="1" applyFill="1" applyBorder="1" applyAlignment="1">
      <alignment horizontal="center" vertical="center" wrapText="1"/>
    </xf>
    <xf numFmtId="0" fontId="107" fillId="25" borderId="37" xfId="8" applyFont="1" applyFill="1" applyBorder="1" applyAlignment="1">
      <alignment horizontal="center" vertical="center"/>
    </xf>
    <xf numFmtId="187" fontId="68" fillId="23" borderId="39" xfId="4" applyNumberFormat="1" applyFont="1" applyFill="1" applyBorder="1" applyAlignment="1">
      <alignment horizontal="center" vertical="center"/>
    </xf>
    <xf numFmtId="187" fontId="68" fillId="32" borderId="38" xfId="4" applyNumberFormat="1" applyFont="1" applyFill="1" applyBorder="1" applyAlignment="1">
      <alignment horizontal="center" vertical="center"/>
    </xf>
    <xf numFmtId="187" fontId="68" fillId="43" borderId="3" xfId="4" applyNumberFormat="1" applyFont="1" applyFill="1" applyBorder="1" applyAlignment="1">
      <alignment horizontal="center" vertical="center"/>
    </xf>
    <xf numFmtId="0" fontId="108" fillId="25" borderId="39" xfId="8" applyFont="1" applyFill="1" applyBorder="1" applyAlignment="1">
      <alignment horizontal="center" vertical="center"/>
    </xf>
    <xf numFmtId="0" fontId="64" fillId="23" borderId="38" xfId="4" applyFont="1" applyFill="1" applyBorder="1" applyAlignment="1">
      <alignment horizontal="center" vertical="center" wrapText="1"/>
    </xf>
    <xf numFmtId="0" fontId="67" fillId="43" borderId="5" xfId="4" applyFont="1" applyFill="1" applyBorder="1" applyAlignment="1">
      <alignment horizontal="center" vertical="center" wrapText="1"/>
    </xf>
    <xf numFmtId="0" fontId="7" fillId="32" borderId="0" xfId="8" applyFill="1"/>
    <xf numFmtId="0" fontId="107" fillId="25" borderId="38" xfId="8" applyFont="1" applyFill="1" applyBorder="1" applyAlignment="1">
      <alignment horizontal="center" vertical="center"/>
    </xf>
    <xf numFmtId="1" fontId="68" fillId="32" borderId="38" xfId="4" applyNumberFormat="1" applyFont="1" applyFill="1" applyBorder="1" applyAlignment="1">
      <alignment horizontal="center" vertical="center"/>
    </xf>
    <xf numFmtId="1" fontId="68" fillId="43" borderId="3" xfId="4" applyNumberFormat="1" applyFont="1" applyFill="1" applyBorder="1" applyAlignment="1">
      <alignment horizontal="center" vertical="center"/>
    </xf>
    <xf numFmtId="0" fontId="106" fillId="32" borderId="2" xfId="8" applyFont="1" applyFill="1" applyBorder="1"/>
    <xf numFmtId="0" fontId="7" fillId="32" borderId="2" xfId="8" applyFill="1" applyBorder="1"/>
    <xf numFmtId="0" fontId="9" fillId="21" borderId="0" xfId="8" applyFont="1" applyFill="1"/>
    <xf numFmtId="0" fontId="106" fillId="21" borderId="0" xfId="8" applyFont="1" applyFill="1"/>
    <xf numFmtId="0" fontId="109" fillId="21" borderId="0" xfId="8" applyFont="1" applyFill="1"/>
    <xf numFmtId="0" fontId="64" fillId="35" borderId="0" xfId="4" applyFont="1" applyFill="1" applyAlignment="1">
      <alignment horizontal="left"/>
    </xf>
    <xf numFmtId="0" fontId="5" fillId="35" borderId="0" xfId="8" applyFont="1" applyFill="1" applyAlignment="1">
      <alignment horizontal="left" vertical="top"/>
    </xf>
    <xf numFmtId="0" fontId="109" fillId="0" borderId="0" xfId="8" applyFont="1"/>
    <xf numFmtId="1" fontId="68" fillId="23" borderId="39" xfId="4" applyNumberFormat="1" applyFont="1" applyFill="1" applyBorder="1" applyAlignment="1">
      <alignment horizontal="center" vertical="center"/>
    </xf>
    <xf numFmtId="0" fontId="67" fillId="43" borderId="36" xfId="4" applyFont="1" applyFill="1" applyBorder="1" applyAlignment="1">
      <alignment horizontal="center" vertical="center"/>
    </xf>
    <xf numFmtId="177" fontId="110" fillId="26" borderId="5" xfId="8" applyNumberFormat="1" applyFont="1" applyFill="1" applyBorder="1" applyAlignment="1">
      <alignment horizontal="center" vertical="center"/>
    </xf>
    <xf numFmtId="177" fontId="110" fillId="26" borderId="4" xfId="8" applyNumberFormat="1" applyFont="1" applyFill="1" applyBorder="1" applyAlignment="1">
      <alignment horizontal="center" vertical="center"/>
    </xf>
    <xf numFmtId="177" fontId="110" fillId="26" borderId="3" xfId="8" applyNumberFormat="1" applyFont="1" applyFill="1" applyBorder="1" applyAlignment="1">
      <alignment horizontal="center" vertical="center"/>
    </xf>
    <xf numFmtId="177" fontId="110" fillId="26" borderId="1" xfId="8" applyNumberFormat="1" applyFont="1" applyFill="1" applyBorder="1" applyAlignment="1">
      <alignment horizontal="center" vertical="center"/>
    </xf>
    <xf numFmtId="0" fontId="110" fillId="26" borderId="5" xfId="8" applyFont="1" applyFill="1" applyBorder="1" applyAlignment="1">
      <alignment horizontal="center" vertical="center"/>
    </xf>
    <xf numFmtId="0" fontId="110" fillId="26" borderId="4" xfId="8" applyFont="1" applyFill="1" applyBorder="1" applyAlignment="1">
      <alignment horizontal="center" vertical="center"/>
    </xf>
    <xf numFmtId="170" fontId="7" fillId="0" borderId="0" xfId="8" applyNumberFormat="1"/>
    <xf numFmtId="0" fontId="67" fillId="32" borderId="0" xfId="4" applyFont="1" applyFill="1" applyAlignment="1">
      <alignment horizontal="center" vertical="center" wrapText="1"/>
    </xf>
    <xf numFmtId="0" fontId="7" fillId="0" borderId="4" xfId="8" applyBorder="1"/>
    <xf numFmtId="187" fontId="64" fillId="23" borderId="38" xfId="4" applyNumberFormat="1" applyFont="1" applyFill="1" applyBorder="1" applyAlignment="1">
      <alignment horizontal="center" vertical="center" wrapText="1"/>
    </xf>
    <xf numFmtId="187" fontId="67" fillId="43" borderId="5" xfId="4" applyNumberFormat="1" applyFont="1" applyFill="1" applyBorder="1" applyAlignment="1">
      <alignment horizontal="center" vertical="center" wrapText="1"/>
    </xf>
    <xf numFmtId="187" fontId="108" fillId="25" borderId="39" xfId="8" applyNumberFormat="1" applyFont="1" applyFill="1" applyBorder="1" applyAlignment="1">
      <alignment horizontal="center" vertical="center"/>
    </xf>
    <xf numFmtId="187" fontId="107" fillId="25" borderId="37" xfId="8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7" fillId="0" borderId="26" xfId="8" applyBorder="1" applyAlignment="1">
      <alignment horizontal="center"/>
    </xf>
    <xf numFmtId="9" fontId="7" fillId="0" borderId="26" xfId="8" applyNumberFormat="1" applyBorder="1" applyAlignment="1">
      <alignment horizontal="center"/>
    </xf>
    <xf numFmtId="0" fontId="18" fillId="0" borderId="0" xfId="8" applyFont="1" applyAlignment="1">
      <alignment vertical="center"/>
    </xf>
    <xf numFmtId="0" fontId="18" fillId="19" borderId="0" xfId="8" applyFont="1" applyFill="1" applyAlignment="1" applyProtection="1">
      <alignment horizontal="center" vertical="center"/>
      <protection locked="0"/>
    </xf>
    <xf numFmtId="173" fontId="7" fillId="0" borderId="26" xfId="8" applyNumberFormat="1" applyBorder="1" applyAlignment="1">
      <alignment horizontal="center"/>
    </xf>
    <xf numFmtId="170" fontId="24" fillId="30" borderId="34" xfId="8" applyNumberFormat="1" applyFont="1" applyFill="1" applyBorder="1" applyAlignment="1">
      <alignment horizontal="center"/>
    </xf>
    <xf numFmtId="0" fontId="41" fillId="0" borderId="0" xfId="0" applyFont="1"/>
    <xf numFmtId="0" fontId="7" fillId="30" borderId="8" xfId="8" applyFill="1" applyBorder="1" applyAlignment="1">
      <alignment horizontal="center"/>
    </xf>
    <xf numFmtId="0" fontId="7" fillId="30" borderId="6" xfId="8" applyFill="1" applyBorder="1"/>
    <xf numFmtId="0" fontId="7" fillId="33" borderId="34" xfId="8" applyFill="1" applyBorder="1"/>
    <xf numFmtId="0" fontId="7" fillId="33" borderId="35" xfId="8" applyFill="1" applyBorder="1"/>
    <xf numFmtId="0" fontId="8" fillId="54" borderId="34" xfId="8" applyFont="1" applyFill="1" applyBorder="1"/>
    <xf numFmtId="0" fontId="8" fillId="54" borderId="35" xfId="8" applyFont="1" applyFill="1" applyBorder="1"/>
    <xf numFmtId="0" fontId="7" fillId="33" borderId="26" xfId="8" applyFill="1" applyBorder="1" applyProtection="1">
      <protection locked="0"/>
    </xf>
    <xf numFmtId="0" fontId="8" fillId="54" borderId="26" xfId="8" applyFont="1" applyFill="1" applyBorder="1" applyProtection="1">
      <protection locked="0"/>
    </xf>
    <xf numFmtId="0" fontId="52" fillId="0" borderId="4" xfId="8" applyFont="1" applyBorder="1" applyAlignment="1">
      <alignment horizontal="center"/>
    </xf>
    <xf numFmtId="0" fontId="7" fillId="0" borderId="4" xfId="8" applyBorder="1" applyAlignment="1">
      <alignment horizontal="center"/>
    </xf>
    <xf numFmtId="0" fontId="54" fillId="26" borderId="38" xfId="0" applyFont="1" applyFill="1" applyBorder="1" applyAlignment="1">
      <alignment horizontal="left" vertical="center" wrapText="1"/>
    </xf>
    <xf numFmtId="0" fontId="54" fillId="26" borderId="39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1" fontId="128" fillId="0" borderId="26" xfId="0" applyNumberFormat="1" applyFont="1" applyBorder="1" applyAlignment="1">
      <alignment horizontal="right" vertical="center"/>
    </xf>
    <xf numFmtId="0" fontId="128" fillId="0" borderId="26" xfId="0" applyFont="1" applyBorder="1" applyAlignment="1">
      <alignment horizontal="left" vertical="center"/>
    </xf>
    <xf numFmtId="0" fontId="23" fillId="0" borderId="0" xfId="0" applyFont="1" applyAlignment="1">
      <alignment horizontal="right" vertical="center" textRotation="90"/>
    </xf>
    <xf numFmtId="0" fontId="16" fillId="0" borderId="0" xfId="0" applyFont="1" applyAlignment="1">
      <alignment horizontal="center"/>
    </xf>
    <xf numFmtId="0" fontId="16" fillId="0" borderId="40" xfId="0" applyFont="1" applyBorder="1" applyAlignment="1">
      <alignment horizontal="center" vertical="center"/>
    </xf>
    <xf numFmtId="0" fontId="99" fillId="36" borderId="3" xfId="0" applyFont="1" applyFill="1" applyBorder="1" applyAlignment="1" applyProtection="1">
      <alignment horizontal="center"/>
      <protection locked="0"/>
    </xf>
    <xf numFmtId="0" fontId="99" fillId="36" borderId="2" xfId="0" applyFont="1" applyFill="1" applyBorder="1" applyAlignment="1" applyProtection="1">
      <alignment horizontal="center"/>
      <protection locked="0"/>
    </xf>
    <xf numFmtId="0" fontId="99" fillId="36" borderId="1" xfId="0" applyFont="1" applyFill="1" applyBorder="1" applyAlignment="1" applyProtection="1">
      <alignment horizontal="center"/>
      <protection locked="0"/>
    </xf>
    <xf numFmtId="0" fontId="0" fillId="29" borderId="8" xfId="0" applyFill="1" applyBorder="1" applyAlignment="1">
      <alignment horizontal="center" vertical="center"/>
    </xf>
    <xf numFmtId="0" fontId="0" fillId="29" borderId="7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127" fillId="0" borderId="26" xfId="0" applyFont="1" applyBorder="1" applyAlignment="1">
      <alignment horizontal="left" vertical="center"/>
    </xf>
    <xf numFmtId="0" fontId="55" fillId="26" borderId="38" xfId="0" applyFont="1" applyFill="1" applyBorder="1" applyAlignment="1">
      <alignment horizontal="left" vertical="center" wrapText="1"/>
    </xf>
    <xf numFmtId="0" fontId="0" fillId="26" borderId="5" xfId="0" applyFill="1" applyBorder="1" applyAlignment="1">
      <alignment horizontal="center" vertical="center" wrapText="1"/>
    </xf>
    <xf numFmtId="0" fontId="0" fillId="21" borderId="0" xfId="0" applyFill="1" applyAlignment="1" applyProtection="1">
      <alignment horizontal="center" vertical="center" wrapText="1"/>
      <protection locked="0"/>
    </xf>
    <xf numFmtId="0" fontId="0" fillId="21" borderId="4" xfId="0" applyFill="1" applyBorder="1" applyAlignment="1" applyProtection="1">
      <alignment horizontal="center" vertical="center" wrapText="1"/>
      <protection locked="0"/>
    </xf>
    <xf numFmtId="0" fontId="60" fillId="36" borderId="5" xfId="0" applyFont="1" applyFill="1" applyBorder="1" applyAlignment="1">
      <alignment horizontal="center" vertical="center"/>
    </xf>
    <xf numFmtId="0" fontId="60" fillId="36" borderId="0" xfId="0" applyFont="1" applyFill="1" applyAlignment="1">
      <alignment horizontal="center" vertical="center"/>
    </xf>
    <xf numFmtId="0" fontId="16" fillId="0" borderId="0" xfId="0" applyFont="1" applyAlignment="1">
      <alignment horizontal="right" textRotation="90"/>
    </xf>
    <xf numFmtId="0" fontId="77" fillId="36" borderId="5" xfId="0" applyFont="1" applyFill="1" applyBorder="1" applyAlignment="1">
      <alignment horizontal="center" vertical="center"/>
    </xf>
    <xf numFmtId="0" fontId="145" fillId="6" borderId="40" xfId="0" applyFont="1" applyFill="1" applyBorder="1" applyAlignment="1">
      <alignment horizontal="left" vertical="center"/>
    </xf>
    <xf numFmtId="1" fontId="128" fillId="0" borderId="89" xfId="0" applyNumberFormat="1" applyFont="1" applyBorder="1" applyAlignment="1">
      <alignment horizontal="right" vertical="center"/>
    </xf>
    <xf numFmtId="0" fontId="128" fillId="0" borderId="40" xfId="0" applyFont="1" applyBorder="1" applyAlignment="1">
      <alignment horizontal="left" vertical="center"/>
    </xf>
    <xf numFmtId="0" fontId="127" fillId="0" borderId="40" xfId="0" applyFont="1" applyBorder="1" applyAlignment="1">
      <alignment horizontal="right" vertical="center"/>
    </xf>
    <xf numFmtId="0" fontId="127" fillId="0" borderId="40" xfId="0" applyFont="1" applyBorder="1" applyAlignment="1">
      <alignment horizontal="left" vertical="center"/>
    </xf>
    <xf numFmtId="0" fontId="18" fillId="0" borderId="0" xfId="0" applyFont="1" applyAlignment="1">
      <alignment horizontal="left" vertical="center" textRotation="90"/>
    </xf>
    <xf numFmtId="0" fontId="0" fillId="0" borderId="52" xfId="0" applyBorder="1" applyAlignment="1">
      <alignment horizontal="center" vertical="center"/>
    </xf>
    <xf numFmtId="0" fontId="145" fillId="6" borderId="26" xfId="0" applyFont="1" applyFill="1" applyBorder="1" applyAlignment="1">
      <alignment horizontal="left" vertical="center"/>
    </xf>
    <xf numFmtId="0" fontId="126" fillId="0" borderId="26" xfId="0" applyFont="1" applyBorder="1" applyAlignment="1">
      <alignment horizontal="right" vertical="center"/>
    </xf>
    <xf numFmtId="0" fontId="0" fillId="36" borderId="0" xfId="0" applyFill="1" applyAlignment="1">
      <alignment horizontal="center" vertical="center"/>
    </xf>
    <xf numFmtId="0" fontId="0" fillId="36" borderId="4" xfId="0" applyFill="1" applyBorder="1" applyAlignment="1">
      <alignment horizontal="center" vertical="center"/>
    </xf>
    <xf numFmtId="0" fontId="130" fillId="0" borderId="89" xfId="0" applyFont="1" applyBorder="1" applyAlignment="1">
      <alignment horizontal="center" vertical="center"/>
    </xf>
    <xf numFmtId="0" fontId="130" fillId="0" borderId="68" xfId="0" applyFont="1" applyBorder="1" applyAlignment="1">
      <alignment horizontal="center" vertical="center"/>
    </xf>
    <xf numFmtId="0" fontId="130" fillId="0" borderId="69" xfId="0" applyFont="1" applyBorder="1" applyAlignment="1">
      <alignment horizontal="center" vertical="center"/>
    </xf>
    <xf numFmtId="0" fontId="130" fillId="0" borderId="73" xfId="0" applyFont="1" applyBorder="1" applyAlignment="1">
      <alignment horizontal="center" vertical="center"/>
    </xf>
    <xf numFmtId="0" fontId="130" fillId="0" borderId="40" xfId="0" applyFont="1" applyBorder="1" applyAlignment="1">
      <alignment horizontal="center" vertical="center"/>
    </xf>
    <xf numFmtId="0" fontId="147" fillId="50" borderId="0" xfId="0" applyFont="1" applyFill="1" applyAlignment="1" applyProtection="1">
      <alignment horizontal="center" vertical="center"/>
      <protection locked="0"/>
    </xf>
    <xf numFmtId="0" fontId="129" fillId="47" borderId="53" xfId="0" applyFont="1" applyFill="1" applyBorder="1" applyAlignment="1">
      <alignment horizontal="center" vertical="center"/>
    </xf>
    <xf numFmtId="0" fontId="129" fillId="47" borderId="94" xfId="0" applyFont="1" applyFill="1" applyBorder="1" applyAlignment="1">
      <alignment horizontal="center" vertical="center"/>
    </xf>
    <xf numFmtId="0" fontId="80" fillId="0" borderId="26" xfId="0" applyFont="1" applyBorder="1" applyAlignment="1">
      <alignment horizontal="center" vertical="center"/>
    </xf>
    <xf numFmtId="0" fontId="81" fillId="0" borderId="26" xfId="0" applyFont="1" applyBorder="1" applyAlignment="1">
      <alignment horizontal="center" vertical="center"/>
    </xf>
    <xf numFmtId="0" fontId="101" fillId="36" borderId="3" xfId="0" applyFont="1" applyFill="1" applyBorder="1" applyAlignment="1">
      <alignment horizontal="center" vertical="center"/>
    </xf>
    <xf numFmtId="0" fontId="101" fillId="36" borderId="2" xfId="0" applyFont="1" applyFill="1" applyBorder="1" applyAlignment="1">
      <alignment horizontal="center" vertical="center"/>
    </xf>
    <xf numFmtId="0" fontId="101" fillId="36" borderId="1" xfId="0" applyFont="1" applyFill="1" applyBorder="1" applyAlignment="1">
      <alignment horizontal="center" vertical="center"/>
    </xf>
    <xf numFmtId="0" fontId="131" fillId="0" borderId="26" xfId="0" applyFont="1" applyBorder="1" applyAlignment="1">
      <alignment horizontal="center" vertical="center"/>
    </xf>
    <xf numFmtId="0" fontId="104" fillId="41" borderId="40" xfId="0" applyFont="1" applyFill="1" applyBorder="1" applyAlignment="1" applyProtection="1">
      <alignment horizontal="center" vertical="center"/>
      <protection locked="0"/>
    </xf>
    <xf numFmtId="0" fontId="104" fillId="41" borderId="73" xfId="0" applyFont="1" applyFill="1" applyBorder="1" applyAlignment="1" applyProtection="1">
      <alignment horizontal="center" vertical="center"/>
      <protection locked="0"/>
    </xf>
    <xf numFmtId="0" fontId="140" fillId="0" borderId="40" xfId="0" applyFont="1" applyBorder="1" applyAlignment="1">
      <alignment horizontal="center" vertical="center"/>
    </xf>
    <xf numFmtId="0" fontId="130" fillId="0" borderId="26" xfId="0" applyFont="1" applyBorder="1" applyAlignment="1">
      <alignment horizontal="center" vertical="center"/>
    </xf>
    <xf numFmtId="0" fontId="130" fillId="0" borderId="34" xfId="0" applyFont="1" applyBorder="1" applyAlignment="1">
      <alignment horizontal="center" vertical="center"/>
    </xf>
    <xf numFmtId="0" fontId="132" fillId="0" borderId="26" xfId="0" applyFont="1" applyBorder="1" applyAlignment="1">
      <alignment horizontal="center" vertical="center"/>
    </xf>
    <xf numFmtId="0" fontId="51" fillId="38" borderId="0" xfId="0" applyFont="1" applyFill="1" applyAlignment="1">
      <alignment horizontal="center" vertical="center"/>
    </xf>
    <xf numFmtId="0" fontId="136" fillId="45" borderId="0" xfId="0" applyFont="1" applyFill="1" applyAlignment="1">
      <alignment horizontal="center"/>
    </xf>
    <xf numFmtId="0" fontId="136" fillId="46" borderId="0" xfId="0" applyFont="1" applyFill="1" applyAlignment="1">
      <alignment horizontal="center"/>
    </xf>
    <xf numFmtId="2" fontId="146" fillId="48" borderId="26" xfId="0" applyNumberFormat="1" applyFont="1" applyFill="1" applyBorder="1" applyAlignment="1" applyProtection="1">
      <alignment horizontal="center" vertical="center"/>
      <protection locked="0"/>
    </xf>
    <xf numFmtId="2" fontId="146" fillId="48" borderId="86" xfId="0" applyNumberFormat="1" applyFont="1" applyFill="1" applyBorder="1" applyAlignment="1" applyProtection="1">
      <alignment horizontal="center" vertical="center"/>
      <protection locked="0"/>
    </xf>
    <xf numFmtId="0" fontId="146" fillId="48" borderId="26" xfId="0" applyFont="1" applyFill="1" applyBorder="1" applyAlignment="1" applyProtection="1">
      <alignment horizontal="center" vertical="center"/>
      <protection locked="0"/>
    </xf>
    <xf numFmtId="0" fontId="146" fillId="48" borderId="86" xfId="0" applyFont="1" applyFill="1" applyBorder="1" applyAlignment="1" applyProtection="1">
      <alignment horizontal="center" vertical="center"/>
      <protection locked="0"/>
    </xf>
    <xf numFmtId="0" fontId="138" fillId="45" borderId="0" xfId="0" applyFont="1" applyFill="1" applyAlignment="1">
      <alignment horizontal="center" vertical="center"/>
    </xf>
    <xf numFmtId="173" fontId="138" fillId="46" borderId="0" xfId="0" applyNumberFormat="1" applyFont="1" applyFill="1" applyAlignment="1">
      <alignment horizontal="center" vertical="center"/>
    </xf>
    <xf numFmtId="0" fontId="91" fillId="0" borderId="87" xfId="0" applyFont="1" applyBorder="1" applyAlignment="1">
      <alignment horizontal="center"/>
    </xf>
    <xf numFmtId="0" fontId="135" fillId="49" borderId="0" xfId="0" applyFont="1" applyFill="1" applyAlignment="1">
      <alignment horizontal="center"/>
    </xf>
    <xf numFmtId="0" fontId="91" fillId="0" borderId="88" xfId="0" applyFont="1" applyBorder="1" applyAlignment="1">
      <alignment horizontal="center"/>
    </xf>
    <xf numFmtId="0" fontId="148" fillId="25" borderId="25" xfId="0" applyFont="1" applyFill="1" applyBorder="1" applyAlignment="1" applyProtection="1">
      <alignment horizontal="center" vertical="center" wrapText="1"/>
      <protection locked="0"/>
    </xf>
    <xf numFmtId="0" fontId="148" fillId="25" borderId="27" xfId="0" applyFont="1" applyFill="1" applyBorder="1" applyAlignment="1" applyProtection="1">
      <alignment horizontal="center" vertical="center" wrapText="1"/>
      <protection locked="0"/>
    </xf>
    <xf numFmtId="0" fontId="148" fillId="25" borderId="28" xfId="0" applyFont="1" applyFill="1" applyBorder="1" applyAlignment="1" applyProtection="1">
      <alignment horizontal="center" vertical="center" wrapText="1"/>
      <protection locked="0"/>
    </xf>
    <xf numFmtId="0" fontId="148" fillId="25" borderId="30" xfId="0" applyFont="1" applyFill="1" applyBorder="1" applyAlignment="1" applyProtection="1">
      <alignment horizontal="center" vertical="center" wrapText="1"/>
      <protection locked="0"/>
    </xf>
    <xf numFmtId="0" fontId="94" fillId="51" borderId="8" xfId="0" applyFont="1" applyFill="1" applyBorder="1" applyAlignment="1">
      <alignment horizontal="center" vertical="center"/>
    </xf>
    <xf numFmtId="0" fontId="94" fillId="51" borderId="7" xfId="0" applyFont="1" applyFill="1" applyBorder="1" applyAlignment="1">
      <alignment horizontal="center" vertical="center"/>
    </xf>
    <xf numFmtId="0" fontId="94" fillId="51" borderId="6" xfId="0" applyFont="1" applyFill="1" applyBorder="1" applyAlignment="1">
      <alignment horizontal="center" vertical="center"/>
    </xf>
    <xf numFmtId="0" fontId="94" fillId="51" borderId="5" xfId="0" applyFont="1" applyFill="1" applyBorder="1" applyAlignment="1">
      <alignment horizontal="center" vertical="center"/>
    </xf>
    <xf numFmtId="0" fontId="94" fillId="51" borderId="0" xfId="0" applyFont="1" applyFill="1" applyAlignment="1">
      <alignment horizontal="center" vertical="center"/>
    </xf>
    <xf numFmtId="0" fontId="94" fillId="51" borderId="4" xfId="0" applyFont="1" applyFill="1" applyBorder="1" applyAlignment="1">
      <alignment horizontal="center" vertical="center"/>
    </xf>
    <xf numFmtId="0" fontId="101" fillId="36" borderId="0" xfId="0" applyFont="1" applyFill="1" applyAlignment="1">
      <alignment horizontal="center" vertical="center"/>
    </xf>
    <xf numFmtId="0" fontId="101" fillId="36" borderId="4" xfId="0" applyFont="1" applyFill="1" applyBorder="1" applyAlignment="1">
      <alignment horizontal="center" vertical="center"/>
    </xf>
    <xf numFmtId="0" fontId="101" fillId="25" borderId="22" xfId="0" applyFont="1" applyFill="1" applyBorder="1" applyAlignment="1">
      <alignment horizontal="center" vertical="center"/>
    </xf>
    <xf numFmtId="0" fontId="101" fillId="25" borderId="24" xfId="0" applyFont="1" applyFill="1" applyBorder="1" applyAlignment="1">
      <alignment horizontal="center" vertical="center"/>
    </xf>
    <xf numFmtId="0" fontId="101" fillId="25" borderId="25" xfId="0" applyFont="1" applyFill="1" applyBorder="1" applyAlignment="1">
      <alignment horizontal="center" vertical="center"/>
    </xf>
    <xf numFmtId="0" fontId="101" fillId="25" borderId="27" xfId="0" applyFont="1" applyFill="1" applyBorder="1" applyAlignment="1">
      <alignment horizontal="center" vertical="center"/>
    </xf>
    <xf numFmtId="0" fontId="0" fillId="29" borderId="5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139" fillId="47" borderId="0" xfId="0" applyFont="1" applyFill="1" applyAlignment="1">
      <alignment horizontal="center" vertical="center"/>
    </xf>
    <xf numFmtId="0" fontId="149" fillId="0" borderId="52" xfId="0" applyFont="1" applyBorder="1" applyAlignment="1">
      <alignment horizontal="center" vertical="center"/>
    </xf>
    <xf numFmtId="0" fontId="149" fillId="0" borderId="40" xfId="0" applyFont="1" applyBorder="1" applyAlignment="1">
      <alignment horizontal="center" vertical="center"/>
    </xf>
    <xf numFmtId="0" fontId="58" fillId="36" borderId="5" xfId="0" applyFont="1" applyFill="1" applyBorder="1" applyAlignment="1">
      <alignment horizontal="center" vertical="center"/>
    </xf>
    <xf numFmtId="0" fontId="132" fillId="0" borderId="40" xfId="0" applyFont="1" applyBorder="1" applyAlignment="1">
      <alignment horizontal="center" vertical="center"/>
    </xf>
    <xf numFmtId="0" fontId="58" fillId="36" borderId="0" xfId="0" applyFont="1" applyFill="1" applyAlignment="1">
      <alignment horizontal="center" vertical="center"/>
    </xf>
    <xf numFmtId="0" fontId="58" fillId="36" borderId="4" xfId="0" applyFont="1" applyFill="1" applyBorder="1" applyAlignment="1">
      <alignment horizontal="center" vertical="center"/>
    </xf>
    <xf numFmtId="0" fontId="0" fillId="47" borderId="0" xfId="0" applyFill="1" applyAlignment="1">
      <alignment horizontal="center"/>
    </xf>
    <xf numFmtId="0" fontId="47" fillId="0" borderId="0" xfId="0" applyFon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/>
    <xf numFmtId="2" fontId="111" fillId="17" borderId="0" xfId="0" applyNumberFormat="1" applyFont="1" applyFill="1" applyAlignment="1">
      <alignment horizontal="center" vertical="center"/>
    </xf>
    <xf numFmtId="0" fontId="44" fillId="17" borderId="0" xfId="0" applyFont="1" applyFill="1" applyAlignment="1">
      <alignment horizontal="center"/>
    </xf>
    <xf numFmtId="0" fontId="47" fillId="30" borderId="70" xfId="0" applyFont="1" applyFill="1" applyBorder="1" applyAlignment="1">
      <alignment horizontal="center" vertical="center"/>
    </xf>
    <xf numFmtId="0" fontId="47" fillId="30" borderId="71" xfId="0" applyFont="1" applyFill="1" applyBorder="1" applyAlignment="1">
      <alignment horizontal="center" vertical="center"/>
    </xf>
    <xf numFmtId="0" fontId="47" fillId="30" borderId="72" xfId="0" applyFont="1" applyFill="1" applyBorder="1" applyAlignment="1">
      <alignment horizontal="center" vertical="center"/>
    </xf>
    <xf numFmtId="2" fontId="111" fillId="16" borderId="0" xfId="0" applyNumberFormat="1" applyFont="1" applyFill="1" applyAlignment="1">
      <alignment horizontal="center" vertical="center"/>
    </xf>
    <xf numFmtId="2" fontId="111" fillId="16" borderId="4" xfId="0" applyNumberFormat="1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/>
    </xf>
    <xf numFmtId="0" fontId="51" fillId="25" borderId="17" xfId="0" applyFont="1" applyFill="1" applyBorder="1" applyAlignment="1">
      <alignment horizontal="center" vertical="center"/>
    </xf>
    <xf numFmtId="0" fontId="51" fillId="25" borderId="9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/>
    </xf>
    <xf numFmtId="0" fontId="4" fillId="20" borderId="76" xfId="0" applyFont="1" applyFill="1" applyBorder="1" applyAlignment="1">
      <alignment horizontal="center"/>
    </xf>
    <xf numFmtId="0" fontId="4" fillId="20" borderId="77" xfId="0" applyFont="1" applyFill="1" applyBorder="1" applyAlignment="1">
      <alignment horizontal="center"/>
    </xf>
    <xf numFmtId="0" fontId="4" fillId="20" borderId="67" xfId="0" applyFont="1" applyFill="1" applyBorder="1" applyAlignment="1">
      <alignment horizontal="center"/>
    </xf>
    <xf numFmtId="0" fontId="5" fillId="20" borderId="76" xfId="0" applyFont="1" applyFill="1" applyBorder="1" applyAlignment="1">
      <alignment horizontal="center"/>
    </xf>
    <xf numFmtId="0" fontId="5" fillId="20" borderId="77" xfId="0" applyFont="1" applyFill="1" applyBorder="1" applyAlignment="1">
      <alignment horizontal="center"/>
    </xf>
    <xf numFmtId="0" fontId="5" fillId="20" borderId="67" xfId="0" applyFont="1" applyFill="1" applyBorder="1" applyAlignment="1">
      <alignment horizontal="center"/>
    </xf>
    <xf numFmtId="0" fontId="1" fillId="21" borderId="11" xfId="0" applyFont="1" applyFill="1" applyBorder="1" applyAlignment="1" applyProtection="1">
      <alignment horizontal="center"/>
      <protection locked="0"/>
    </xf>
    <xf numFmtId="0" fontId="1" fillId="21" borderId="12" xfId="0" applyFont="1" applyFill="1" applyBorder="1" applyAlignment="1" applyProtection="1">
      <alignment horizontal="center"/>
      <protection locked="0"/>
    </xf>
    <xf numFmtId="0" fontId="1" fillId="21" borderId="13" xfId="0" applyFont="1" applyFill="1" applyBorder="1" applyAlignment="1" applyProtection="1">
      <alignment horizontal="center"/>
      <protection locked="0"/>
    </xf>
    <xf numFmtId="169" fontId="96" fillId="36" borderId="3" xfId="0" applyNumberFormat="1" applyFont="1" applyFill="1" applyBorder="1" applyAlignment="1">
      <alignment horizontal="center"/>
    </xf>
    <xf numFmtId="169" fontId="96" fillId="36" borderId="2" xfId="0" applyNumberFormat="1" applyFont="1" applyFill="1" applyBorder="1" applyAlignment="1">
      <alignment horizontal="center"/>
    </xf>
    <xf numFmtId="0" fontId="1" fillId="36" borderId="14" xfId="0" applyFont="1" applyFill="1" applyBorder="1" applyAlignment="1">
      <alignment horizontal="center"/>
    </xf>
    <xf numFmtId="0" fontId="1" fillId="36" borderId="15" xfId="0" applyFont="1" applyFill="1" applyBorder="1" applyAlignment="1">
      <alignment horizontal="center"/>
    </xf>
    <xf numFmtId="0" fontId="112" fillId="26" borderId="17" xfId="0" applyFont="1" applyFill="1" applyBorder="1" applyAlignment="1">
      <alignment horizontal="center"/>
    </xf>
    <xf numFmtId="0" fontId="112" fillId="26" borderId="19" xfId="0" applyFont="1" applyFill="1" applyBorder="1" applyAlignment="1">
      <alignment horizontal="center"/>
    </xf>
    <xf numFmtId="0" fontId="1" fillId="36" borderId="76" xfId="0" applyFont="1" applyFill="1" applyBorder="1" applyAlignment="1">
      <alignment horizontal="center"/>
    </xf>
    <xf numFmtId="0" fontId="1" fillId="36" borderId="78" xfId="0" applyFont="1" applyFill="1" applyBorder="1" applyAlignment="1">
      <alignment horizontal="center"/>
    </xf>
    <xf numFmtId="0" fontId="1" fillId="18" borderId="65" xfId="0" applyFont="1" applyFill="1" applyBorder="1" applyAlignment="1">
      <alignment horizontal="center"/>
    </xf>
    <xf numFmtId="0" fontId="1" fillId="18" borderId="79" xfId="0" applyFont="1" applyFill="1" applyBorder="1" applyAlignment="1">
      <alignment horizontal="center"/>
    </xf>
    <xf numFmtId="0" fontId="1" fillId="36" borderId="65" xfId="0" applyFont="1" applyFill="1" applyBorder="1" applyAlignment="1">
      <alignment horizontal="center"/>
    </xf>
    <xf numFmtId="0" fontId="1" fillId="36" borderId="79" xfId="0" applyFont="1" applyFill="1" applyBorder="1" applyAlignment="1">
      <alignment horizontal="center"/>
    </xf>
    <xf numFmtId="0" fontId="2" fillId="29" borderId="29" xfId="0" applyFont="1" applyFill="1" applyBorder="1" applyAlignment="1">
      <alignment horizontal="center" vertical="center"/>
    </xf>
    <xf numFmtId="179" fontId="11" fillId="0" borderId="0" xfId="8" applyNumberFormat="1" applyFont="1" applyAlignment="1">
      <alignment horizontal="center"/>
    </xf>
    <xf numFmtId="180" fontId="12" fillId="3" borderId="0" xfId="8" applyNumberFormat="1" applyFont="1" applyFill="1" applyAlignment="1">
      <alignment horizontal="center" vertical="center"/>
    </xf>
    <xf numFmtId="0" fontId="114" fillId="33" borderId="8" xfId="0" applyFont="1" applyFill="1" applyBorder="1" applyAlignment="1">
      <alignment horizontal="center" vertical="center"/>
    </xf>
    <xf numFmtId="0" fontId="114" fillId="33" borderId="7" xfId="0" applyFont="1" applyFill="1" applyBorder="1" applyAlignment="1">
      <alignment horizontal="center" vertical="center"/>
    </xf>
    <xf numFmtId="0" fontId="114" fillId="33" borderId="6" xfId="0" applyFont="1" applyFill="1" applyBorder="1" applyAlignment="1">
      <alignment horizontal="center" vertical="center"/>
    </xf>
    <xf numFmtId="177" fontId="115" fillId="33" borderId="5" xfId="0" applyNumberFormat="1" applyFont="1" applyFill="1" applyBorder="1" applyAlignment="1">
      <alignment horizontal="center" vertical="center"/>
    </xf>
    <xf numFmtId="177" fontId="115" fillId="33" borderId="0" xfId="0" applyNumberFormat="1" applyFont="1" applyFill="1" applyAlignment="1">
      <alignment horizontal="center" vertical="center"/>
    </xf>
    <xf numFmtId="177" fontId="115" fillId="33" borderId="4" xfId="0" applyNumberFormat="1" applyFont="1" applyFill="1" applyBorder="1" applyAlignment="1">
      <alignment horizontal="center" vertical="center"/>
    </xf>
    <xf numFmtId="177" fontId="115" fillId="33" borderId="3" xfId="0" applyNumberFormat="1" applyFont="1" applyFill="1" applyBorder="1" applyAlignment="1">
      <alignment horizontal="center" vertical="center"/>
    </xf>
    <xf numFmtId="177" fontId="115" fillId="33" borderId="2" xfId="0" applyNumberFormat="1" applyFont="1" applyFill="1" applyBorder="1" applyAlignment="1">
      <alignment horizontal="center" vertical="center"/>
    </xf>
    <xf numFmtId="177" fontId="115" fillId="33" borderId="1" xfId="0" applyNumberFormat="1" applyFont="1" applyFill="1" applyBorder="1" applyAlignment="1">
      <alignment horizontal="center" vertical="center"/>
    </xf>
    <xf numFmtId="0" fontId="0" fillId="30" borderId="71" xfId="0" applyFill="1" applyBorder="1" applyAlignment="1">
      <alignment horizontal="center"/>
    </xf>
    <xf numFmtId="0" fontId="0" fillId="30" borderId="72" xfId="0" applyFill="1" applyBorder="1" applyAlignment="1">
      <alignment horizontal="center"/>
    </xf>
    <xf numFmtId="0" fontId="0" fillId="0" borderId="0" xfId="0" applyAlignment="1">
      <alignment horizontal="center" textRotation="90"/>
    </xf>
    <xf numFmtId="0" fontId="0" fillId="30" borderId="70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44" fillId="25" borderId="17" xfId="0" applyFont="1" applyFill="1" applyBorder="1" applyAlignment="1">
      <alignment horizontal="center"/>
    </xf>
    <xf numFmtId="0" fontId="44" fillId="25" borderId="18" xfId="0" applyFont="1" applyFill="1" applyBorder="1" applyAlignment="1">
      <alignment horizontal="center"/>
    </xf>
    <xf numFmtId="0" fontId="44" fillId="25" borderId="19" xfId="0" applyFont="1" applyFill="1" applyBorder="1" applyAlignment="1">
      <alignment horizontal="center"/>
    </xf>
    <xf numFmtId="171" fontId="47" fillId="35" borderId="5" xfId="0" applyNumberFormat="1" applyFont="1" applyFill="1" applyBorder="1" applyAlignment="1" applyProtection="1">
      <alignment horizontal="center" vertical="center"/>
      <protection locked="0"/>
    </xf>
    <xf numFmtId="171" fontId="47" fillId="35" borderId="0" xfId="0" applyNumberFormat="1" applyFont="1" applyFill="1" applyAlignment="1" applyProtection="1">
      <alignment horizontal="center" vertical="center"/>
      <protection locked="0"/>
    </xf>
    <xf numFmtId="171" fontId="47" fillId="35" borderId="4" xfId="0" applyNumberFormat="1" applyFont="1" applyFill="1" applyBorder="1" applyAlignment="1" applyProtection="1">
      <alignment horizontal="center" vertical="center"/>
      <protection locked="0"/>
    </xf>
    <xf numFmtId="171" fontId="47" fillId="35" borderId="3" xfId="0" applyNumberFormat="1" applyFont="1" applyFill="1" applyBorder="1" applyAlignment="1" applyProtection="1">
      <alignment horizontal="center" vertical="center"/>
      <protection locked="0"/>
    </xf>
    <xf numFmtId="171" fontId="47" fillId="35" borderId="2" xfId="0" applyNumberFormat="1" applyFont="1" applyFill="1" applyBorder="1" applyAlignment="1" applyProtection="1">
      <alignment horizontal="center" vertical="center"/>
      <protection locked="0"/>
    </xf>
    <xf numFmtId="171" fontId="47" fillId="35" borderId="1" xfId="0" applyNumberFormat="1" applyFont="1" applyFill="1" applyBorder="1" applyAlignment="1" applyProtection="1">
      <alignment horizontal="center" vertical="center"/>
      <protection locked="0"/>
    </xf>
    <xf numFmtId="0" fontId="44" fillId="25" borderId="17" xfId="0" applyFont="1" applyFill="1" applyBorder="1" applyAlignment="1">
      <alignment horizontal="center" vertical="center" textRotation="90"/>
    </xf>
    <xf numFmtId="0" fontId="44" fillId="25" borderId="14" xfId="0" applyFont="1" applyFill="1" applyBorder="1" applyAlignment="1">
      <alignment horizontal="center" vertical="center" textRotation="90"/>
    </xf>
    <xf numFmtId="0" fontId="44" fillId="25" borderId="9" xfId="0" applyFont="1" applyFill="1" applyBorder="1" applyAlignment="1">
      <alignment horizontal="center" vertical="center" textRotation="90"/>
    </xf>
    <xf numFmtId="171" fontId="47" fillId="35" borderId="81" xfId="0" applyNumberFormat="1" applyFont="1" applyFill="1" applyBorder="1" applyAlignment="1">
      <alignment horizontal="center" vertical="center" textRotation="90"/>
    </xf>
    <xf numFmtId="171" fontId="47" fillId="35" borderId="82" xfId="0" applyNumberFormat="1" applyFont="1" applyFill="1" applyBorder="1" applyAlignment="1">
      <alignment horizontal="center" vertical="center" textRotation="90"/>
    </xf>
    <xf numFmtId="171" fontId="47" fillId="35" borderId="42" xfId="0" applyNumberFormat="1" applyFont="1" applyFill="1" applyBorder="1" applyAlignment="1">
      <alignment horizontal="center" vertical="center" textRotation="90"/>
    </xf>
    <xf numFmtId="171" fontId="13" fillId="24" borderId="14" xfId="8" applyNumberFormat="1" applyFont="1" applyFill="1" applyBorder="1" applyAlignment="1" applyProtection="1">
      <alignment horizontal="center" vertical="center"/>
      <protection locked="0"/>
    </xf>
    <xf numFmtId="171" fontId="13" fillId="24" borderId="26" xfId="8" applyNumberFormat="1" applyFont="1" applyFill="1" applyBorder="1" applyAlignment="1" applyProtection="1">
      <alignment horizontal="center" vertical="center"/>
      <protection locked="0"/>
    </xf>
    <xf numFmtId="171" fontId="13" fillId="24" borderId="15" xfId="8" applyNumberFormat="1" applyFont="1" applyFill="1" applyBorder="1" applyAlignment="1" applyProtection="1">
      <alignment horizontal="center" vertical="center"/>
      <protection locked="0"/>
    </xf>
    <xf numFmtId="171" fontId="13" fillId="24" borderId="9" xfId="8" applyNumberFormat="1" applyFont="1" applyFill="1" applyBorder="1" applyAlignment="1" applyProtection="1">
      <alignment horizontal="center" vertical="center"/>
      <protection locked="0"/>
    </xf>
    <xf numFmtId="171" fontId="13" fillId="24" borderId="10" xfId="8" applyNumberFormat="1" applyFont="1" applyFill="1" applyBorder="1" applyAlignment="1" applyProtection="1">
      <alignment horizontal="center" vertical="center"/>
      <protection locked="0"/>
    </xf>
    <xf numFmtId="171" fontId="13" fillId="24" borderId="16" xfId="8" applyNumberFormat="1" applyFont="1" applyFill="1" applyBorder="1" applyAlignment="1" applyProtection="1">
      <alignment horizontal="center" vertical="center"/>
      <protection locked="0"/>
    </xf>
    <xf numFmtId="0" fontId="9" fillId="26" borderId="8" xfId="8" applyFont="1" applyFill="1" applyBorder="1" applyAlignment="1">
      <alignment horizontal="center"/>
    </xf>
    <xf numFmtId="0" fontId="9" fillId="26" borderId="7" xfId="8" applyFont="1" applyFill="1" applyBorder="1" applyAlignment="1">
      <alignment horizontal="center"/>
    </xf>
    <xf numFmtId="0" fontId="9" fillId="26" borderId="6" xfId="8" applyFont="1" applyFill="1" applyBorder="1" applyAlignment="1">
      <alignment horizontal="center"/>
    </xf>
    <xf numFmtId="0" fontId="113" fillId="26" borderId="5" xfId="8" applyFont="1" applyFill="1" applyBorder="1" applyAlignment="1">
      <alignment horizontal="center"/>
    </xf>
    <xf numFmtId="0" fontId="113" fillId="26" borderId="0" xfId="8" applyFont="1" applyFill="1" applyAlignment="1">
      <alignment horizontal="center"/>
    </xf>
    <xf numFmtId="0" fontId="113" fillId="26" borderId="4" xfId="8" applyFont="1" applyFill="1" applyBorder="1" applyAlignment="1">
      <alignment horizontal="center"/>
    </xf>
    <xf numFmtId="0" fontId="113" fillId="26" borderId="3" xfId="8" applyFont="1" applyFill="1" applyBorder="1" applyAlignment="1">
      <alignment horizontal="center"/>
    </xf>
    <xf numFmtId="0" fontId="113" fillId="26" borderId="2" xfId="8" applyFont="1" applyFill="1" applyBorder="1" applyAlignment="1">
      <alignment horizontal="center"/>
    </xf>
    <xf numFmtId="0" fontId="113" fillId="26" borderId="1" xfId="8" applyFont="1" applyFill="1" applyBorder="1" applyAlignment="1">
      <alignment horizontal="center"/>
    </xf>
    <xf numFmtId="0" fontId="9" fillId="2" borderId="8" xfId="8" applyFont="1" applyFill="1" applyBorder="1" applyAlignment="1">
      <alignment horizontal="center"/>
    </xf>
    <xf numFmtId="0" fontId="9" fillId="2" borderId="7" xfId="8" applyFont="1" applyFill="1" applyBorder="1" applyAlignment="1">
      <alignment horizontal="center"/>
    </xf>
    <xf numFmtId="0" fontId="9" fillId="2" borderId="6" xfId="8" applyFont="1" applyFill="1" applyBorder="1" applyAlignment="1">
      <alignment horizontal="center"/>
    </xf>
    <xf numFmtId="0" fontId="9" fillId="2" borderId="5" xfId="8" applyFont="1" applyFill="1" applyBorder="1" applyAlignment="1">
      <alignment horizontal="center"/>
    </xf>
    <xf numFmtId="0" fontId="9" fillId="2" borderId="0" xfId="8" applyFont="1" applyFill="1" applyAlignment="1">
      <alignment horizontal="center"/>
    </xf>
    <xf numFmtId="0" fontId="9" fillId="2" borderId="4" xfId="8" applyFont="1" applyFill="1" applyBorder="1" applyAlignment="1">
      <alignment horizontal="center"/>
    </xf>
    <xf numFmtId="0" fontId="9" fillId="2" borderId="3" xfId="8" applyFont="1" applyFill="1" applyBorder="1" applyAlignment="1">
      <alignment horizontal="center"/>
    </xf>
    <xf numFmtId="0" fontId="9" fillId="2" borderId="2" xfId="8" applyFont="1" applyFill="1" applyBorder="1" applyAlignment="1">
      <alignment horizontal="center"/>
    </xf>
    <xf numFmtId="0" fontId="9" fillId="2" borderId="1" xfId="8" applyFont="1" applyFill="1" applyBorder="1" applyAlignment="1">
      <alignment horizontal="center"/>
    </xf>
    <xf numFmtId="0" fontId="9" fillId="36" borderId="67" xfId="8" applyFont="1" applyFill="1" applyBorder="1" applyAlignment="1">
      <alignment horizontal="center" vertical="center" textRotation="90"/>
    </xf>
    <xf numFmtId="0" fontId="9" fillId="36" borderId="35" xfId="8" applyFont="1" applyFill="1" applyBorder="1" applyAlignment="1">
      <alignment horizontal="center" vertical="center" textRotation="90"/>
    </xf>
    <xf numFmtId="0" fontId="9" fillId="36" borderId="24" xfId="8" applyFont="1" applyFill="1" applyBorder="1" applyAlignment="1">
      <alignment horizontal="center" vertical="center" textRotation="90"/>
    </xf>
    <xf numFmtId="171" fontId="13" fillId="24" borderId="19" xfId="8" applyNumberFormat="1" applyFont="1" applyFill="1" applyBorder="1" applyAlignment="1" applyProtection="1">
      <alignment horizontal="center" vertical="center" textRotation="90"/>
      <protection locked="0"/>
    </xf>
    <xf numFmtId="171" fontId="13" fillId="24" borderId="15" xfId="8" applyNumberFormat="1" applyFont="1" applyFill="1" applyBorder="1" applyAlignment="1" applyProtection="1">
      <alignment horizontal="center" vertical="center" textRotation="90"/>
      <protection locked="0"/>
    </xf>
    <xf numFmtId="171" fontId="13" fillId="24" borderId="48" xfId="8" applyNumberFormat="1" applyFont="1" applyFill="1" applyBorder="1" applyAlignment="1" applyProtection="1">
      <alignment horizontal="center" vertical="center" textRotation="90"/>
      <protection locked="0"/>
    </xf>
    <xf numFmtId="0" fontId="14" fillId="36" borderId="45" xfId="8" applyFont="1" applyFill="1" applyBorder="1" applyAlignment="1">
      <alignment horizontal="center" vertical="center"/>
    </xf>
    <xf numFmtId="0" fontId="14" fillId="36" borderId="80" xfId="8" applyFont="1" applyFill="1" applyBorder="1" applyAlignment="1">
      <alignment horizontal="center" vertical="center"/>
    </xf>
    <xf numFmtId="0" fontId="14" fillId="36" borderId="28" xfId="8" applyFont="1" applyFill="1" applyBorder="1" applyAlignment="1">
      <alignment horizontal="center" vertical="center"/>
    </xf>
    <xf numFmtId="171" fontId="13" fillId="24" borderId="21" xfId="8" applyNumberFormat="1" applyFont="1" applyFill="1" applyBorder="1" applyAlignment="1" applyProtection="1">
      <alignment horizontal="center" vertical="center"/>
      <protection locked="0"/>
    </xf>
    <xf numFmtId="0" fontId="9" fillId="36" borderId="17" xfId="8" applyFont="1" applyFill="1" applyBorder="1" applyAlignment="1">
      <alignment horizontal="center" vertical="center"/>
    </xf>
    <xf numFmtId="0" fontId="9" fillId="36" borderId="18" xfId="8" applyFont="1" applyFill="1" applyBorder="1" applyAlignment="1">
      <alignment horizontal="center" vertical="center"/>
    </xf>
    <xf numFmtId="0" fontId="9" fillId="36" borderId="19" xfId="8" applyFont="1" applyFill="1" applyBorder="1" applyAlignment="1">
      <alignment horizontal="center" vertical="center"/>
    </xf>
    <xf numFmtId="0" fontId="2" fillId="29" borderId="29" xfId="0" applyFont="1" applyFill="1" applyBorder="1" applyAlignment="1">
      <alignment horizontal="center"/>
    </xf>
    <xf numFmtId="0" fontId="54" fillId="0" borderId="83" xfId="8" applyFont="1" applyBorder="1" applyAlignment="1">
      <alignment horizontal="center" vertical="center"/>
    </xf>
    <xf numFmtId="0" fontId="54" fillId="0" borderId="84" xfId="8" applyFont="1" applyBorder="1" applyAlignment="1">
      <alignment horizontal="center" vertical="center"/>
    </xf>
    <xf numFmtId="0" fontId="54" fillId="0" borderId="85" xfId="8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0" fillId="32" borderId="0" xfId="0" applyFill="1" applyAlignment="1">
      <alignment horizontal="center" vertical="center" textRotation="90"/>
    </xf>
    <xf numFmtId="0" fontId="0" fillId="32" borderId="0" xfId="0" applyFill="1" applyAlignment="1">
      <alignment horizontal="center"/>
    </xf>
    <xf numFmtId="0" fontId="0" fillId="32" borderId="0" xfId="0" applyFill="1" applyAlignment="1">
      <alignment horizontal="center" textRotation="52"/>
    </xf>
    <xf numFmtId="171" fontId="58" fillId="19" borderId="0" xfId="0" applyNumberFormat="1" applyFont="1" applyFill="1" applyAlignment="1" applyProtection="1">
      <alignment horizontal="center" vertical="center" textRotation="90"/>
      <protection locked="0"/>
    </xf>
    <xf numFmtId="0" fontId="0" fillId="19" borderId="0" xfId="0" applyFill="1" applyAlignment="1">
      <alignment horizontal="center"/>
    </xf>
    <xf numFmtId="0" fontId="116" fillId="36" borderId="0" xfId="0" applyFont="1" applyFill="1" applyAlignment="1">
      <alignment horizontal="center" vertical="center"/>
    </xf>
    <xf numFmtId="184" fontId="117" fillId="36" borderId="0" xfId="0" applyNumberFormat="1" applyFont="1" applyFill="1" applyAlignment="1">
      <alignment horizontal="center" vertical="center"/>
    </xf>
    <xf numFmtId="183" fontId="117" fillId="36" borderId="0" xfId="0" applyNumberFormat="1" applyFont="1" applyFill="1" applyAlignment="1">
      <alignment horizontal="center" vertical="center"/>
    </xf>
    <xf numFmtId="171" fontId="58" fillId="19" borderId="0" xfId="0" applyNumberFormat="1" applyFont="1" applyFill="1" applyAlignment="1" applyProtection="1">
      <alignment horizontal="center" vertical="center"/>
      <protection locked="0"/>
    </xf>
    <xf numFmtId="0" fontId="7" fillId="0" borderId="34" xfId="8" applyBorder="1" applyAlignment="1">
      <alignment horizontal="right"/>
    </xf>
    <xf numFmtId="0" fontId="7" fillId="0" borderId="66" xfId="8" applyBorder="1" applyAlignment="1">
      <alignment horizontal="right"/>
    </xf>
    <xf numFmtId="0" fontId="7" fillId="0" borderId="35" xfId="8" applyBorder="1" applyAlignment="1">
      <alignment horizontal="right"/>
    </xf>
    <xf numFmtId="0" fontId="42" fillId="0" borderId="0" xfId="1" applyAlignment="1">
      <alignment horizontal="center"/>
      <protection locked="0"/>
    </xf>
    <xf numFmtId="0" fontId="8" fillId="0" borderId="29" xfId="8" applyFont="1" applyBorder="1" applyAlignment="1">
      <alignment horizontal="center" vertical="center"/>
    </xf>
    <xf numFmtId="0" fontId="24" fillId="30" borderId="25" xfId="8" applyFont="1" applyFill="1" applyBorder="1" applyAlignment="1">
      <alignment horizontal="center"/>
    </xf>
    <xf numFmtId="0" fontId="24" fillId="30" borderId="0" xfId="8" applyFont="1" applyFill="1" applyAlignment="1">
      <alignment horizontal="center"/>
    </xf>
    <xf numFmtId="0" fontId="24" fillId="30" borderId="27" xfId="8" applyFont="1" applyFill="1" applyBorder="1" applyAlignment="1">
      <alignment horizontal="center"/>
    </xf>
    <xf numFmtId="0" fontId="24" fillId="30" borderId="66" xfId="8" applyFont="1" applyFill="1" applyBorder="1" applyAlignment="1">
      <alignment horizontal="center"/>
    </xf>
    <xf numFmtId="0" fontId="24" fillId="30" borderId="35" xfId="8" applyFont="1" applyFill="1" applyBorder="1" applyAlignment="1">
      <alignment horizontal="center"/>
    </xf>
    <xf numFmtId="0" fontId="7" fillId="0" borderId="26" xfId="8" applyBorder="1" applyAlignment="1">
      <alignment horizontal="center"/>
    </xf>
    <xf numFmtId="0" fontId="7" fillId="0" borderId="0" xfId="8" applyAlignment="1">
      <alignment horizontal="center"/>
    </xf>
    <xf numFmtId="185" fontId="118" fillId="26" borderId="34" xfId="8" applyNumberFormat="1" applyFont="1" applyFill="1" applyBorder="1" applyAlignment="1">
      <alignment horizontal="center" vertical="center"/>
    </xf>
    <xf numFmtId="185" fontId="118" fillId="26" borderId="66" xfId="8" applyNumberFormat="1" applyFont="1" applyFill="1" applyBorder="1" applyAlignment="1">
      <alignment horizontal="center" vertical="center"/>
    </xf>
    <xf numFmtId="170" fontId="59" fillId="30" borderId="34" xfId="8" applyNumberFormat="1" applyFont="1" applyFill="1" applyBorder="1" applyAlignment="1">
      <alignment horizontal="center" vertical="center"/>
    </xf>
    <xf numFmtId="170" fontId="59" fillId="30" borderId="66" xfId="8" applyNumberFormat="1" applyFont="1" applyFill="1" applyBorder="1" applyAlignment="1">
      <alignment horizontal="center" vertical="center"/>
    </xf>
    <xf numFmtId="0" fontId="59" fillId="33" borderId="0" xfId="8" applyFont="1" applyFill="1" applyAlignment="1">
      <alignment horizontal="center" vertical="center"/>
    </xf>
    <xf numFmtId="185" fontId="59" fillId="0" borderId="34" xfId="8" applyNumberFormat="1" applyFont="1" applyBorder="1" applyAlignment="1">
      <alignment horizontal="center" vertical="center"/>
    </xf>
    <xf numFmtId="185" fontId="59" fillId="0" borderId="66" xfId="8" applyNumberFormat="1" applyFont="1" applyBorder="1" applyAlignment="1">
      <alignment horizontal="center" vertical="center"/>
    </xf>
    <xf numFmtId="185" fontId="59" fillId="0" borderId="35" xfId="8" applyNumberFormat="1" applyFont="1" applyBorder="1" applyAlignment="1">
      <alignment horizontal="center" vertical="center"/>
    </xf>
    <xf numFmtId="0" fontId="59" fillId="33" borderId="29" xfId="8" applyFont="1" applyFill="1" applyBorder="1" applyAlignment="1">
      <alignment horizontal="center" vertical="center"/>
    </xf>
    <xf numFmtId="171" fontId="74" fillId="35" borderId="7" xfId="8" applyNumberFormat="1" applyFont="1" applyFill="1" applyBorder="1" applyAlignment="1" applyProtection="1">
      <alignment horizontal="center" vertical="center"/>
      <protection locked="0"/>
    </xf>
    <xf numFmtId="171" fontId="74" fillId="35" borderId="0" xfId="8" applyNumberFormat="1" applyFont="1" applyFill="1" applyAlignment="1" applyProtection="1">
      <alignment horizontal="center" vertical="center"/>
      <protection locked="0"/>
    </xf>
    <xf numFmtId="0" fontId="52" fillId="0" borderId="0" xfId="8" applyFont="1" applyAlignment="1">
      <alignment horizontal="center"/>
    </xf>
    <xf numFmtId="200" fontId="104" fillId="26" borderId="5" xfId="8" applyNumberFormat="1" applyFont="1" applyFill="1" applyBorder="1" applyAlignment="1">
      <alignment horizontal="center" vertical="center"/>
    </xf>
    <xf numFmtId="200" fontId="104" fillId="26" borderId="4" xfId="8" applyNumberFormat="1" applyFont="1" applyFill="1" applyBorder="1" applyAlignment="1">
      <alignment horizontal="center" vertical="center"/>
    </xf>
    <xf numFmtId="200" fontId="104" fillId="26" borderId="3" xfId="8" applyNumberFormat="1" applyFont="1" applyFill="1" applyBorder="1" applyAlignment="1">
      <alignment horizontal="center" vertical="center"/>
    </xf>
    <xf numFmtId="200" fontId="104" fillId="26" borderId="1" xfId="8" applyNumberFormat="1" applyFont="1" applyFill="1" applyBorder="1" applyAlignment="1">
      <alignment horizontal="center" vertical="center"/>
    </xf>
    <xf numFmtId="0" fontId="52" fillId="31" borderId="5" xfId="8" applyFont="1" applyFill="1" applyBorder="1" applyAlignment="1">
      <alignment horizontal="center"/>
    </xf>
    <xf numFmtId="0" fontId="52" fillId="31" borderId="0" xfId="8" applyFont="1" applyFill="1" applyAlignment="1">
      <alignment horizontal="center"/>
    </xf>
    <xf numFmtId="0" fontId="73" fillId="0" borderId="8" xfId="8" applyFont="1" applyBorder="1" applyAlignment="1">
      <alignment horizontal="center"/>
    </xf>
    <xf numFmtId="0" fontId="73" fillId="0" borderId="6" xfId="8" applyFont="1" applyBorder="1" applyAlignment="1">
      <alignment horizontal="center"/>
    </xf>
    <xf numFmtId="0" fontId="73" fillId="0" borderId="5" xfId="8" applyFont="1" applyBorder="1" applyAlignment="1">
      <alignment horizontal="center"/>
    </xf>
    <xf numFmtId="0" fontId="73" fillId="0" borderId="4" xfId="8" applyFont="1" applyBorder="1" applyAlignment="1">
      <alignment horizontal="center"/>
    </xf>
    <xf numFmtId="0" fontId="119" fillId="2" borderId="8" xfId="8" applyFont="1" applyFill="1" applyBorder="1" applyAlignment="1">
      <alignment horizontal="center" vertical="center"/>
    </xf>
    <xf numFmtId="0" fontId="119" fillId="2" borderId="7" xfId="8" applyFont="1" applyFill="1" applyBorder="1" applyAlignment="1">
      <alignment horizontal="center" vertical="center"/>
    </xf>
    <xf numFmtId="0" fontId="119" fillId="2" borderId="6" xfId="8" applyFont="1" applyFill="1" applyBorder="1" applyAlignment="1">
      <alignment horizontal="center" vertical="center"/>
    </xf>
    <xf numFmtId="0" fontId="119" fillId="2" borderId="5" xfId="8" applyFont="1" applyFill="1" applyBorder="1" applyAlignment="1">
      <alignment horizontal="center" vertical="center"/>
    </xf>
    <xf numFmtId="0" fontId="119" fillId="2" borderId="0" xfId="8" applyFont="1" applyFill="1" applyAlignment="1">
      <alignment horizontal="center" vertical="center"/>
    </xf>
    <xf numFmtId="0" fontId="119" fillId="2" borderId="4" xfId="8" applyFont="1" applyFill="1" applyBorder="1" applyAlignment="1">
      <alignment horizontal="center" vertical="center"/>
    </xf>
    <xf numFmtId="0" fontId="119" fillId="2" borderId="3" xfId="8" applyFont="1" applyFill="1" applyBorder="1" applyAlignment="1">
      <alignment horizontal="center" vertical="center"/>
    </xf>
    <xf numFmtId="0" fontId="119" fillId="2" borderId="2" xfId="8" applyFont="1" applyFill="1" applyBorder="1" applyAlignment="1">
      <alignment horizontal="center" vertical="center"/>
    </xf>
    <xf numFmtId="0" fontId="119" fillId="2" borderId="1" xfId="8" applyFont="1" applyFill="1" applyBorder="1" applyAlignment="1">
      <alignment horizontal="center" vertical="center"/>
    </xf>
    <xf numFmtId="171" fontId="74" fillId="35" borderId="0" xfId="8" applyNumberFormat="1" applyFont="1" applyFill="1" applyAlignment="1" applyProtection="1">
      <alignment horizontal="center" vertical="center" textRotation="90"/>
      <protection locked="0"/>
    </xf>
    <xf numFmtId="170" fontId="104" fillId="26" borderId="5" xfId="8" applyNumberFormat="1" applyFont="1" applyFill="1" applyBorder="1" applyAlignment="1">
      <alignment horizontal="center" vertical="center"/>
    </xf>
    <xf numFmtId="170" fontId="104" fillId="26" borderId="4" xfId="8" applyNumberFormat="1" applyFont="1" applyFill="1" applyBorder="1" applyAlignment="1">
      <alignment horizontal="center" vertical="center"/>
    </xf>
    <xf numFmtId="170" fontId="104" fillId="26" borderId="3" xfId="8" applyNumberFormat="1" applyFont="1" applyFill="1" applyBorder="1" applyAlignment="1">
      <alignment horizontal="center" vertical="center"/>
    </xf>
    <xf numFmtId="170" fontId="104" fillId="26" borderId="1" xfId="8" applyNumberFormat="1" applyFont="1" applyFill="1" applyBorder="1" applyAlignment="1">
      <alignment horizontal="center" vertical="center"/>
    </xf>
    <xf numFmtId="0" fontId="52" fillId="31" borderId="4" xfId="8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20" fillId="44" borderId="37" xfId="10" applyFont="1" applyFill="1" applyBorder="1" applyAlignment="1">
      <alignment horizontal="center" vertical="center"/>
    </xf>
    <xf numFmtId="0" fontId="120" fillId="44" borderId="38" xfId="10" applyFont="1" applyFill="1" applyBorder="1" applyAlignment="1">
      <alignment horizontal="center" vertical="center"/>
    </xf>
    <xf numFmtId="0" fontId="120" fillId="44" borderId="39" xfId="10" applyFont="1" applyFill="1" applyBorder="1" applyAlignment="1">
      <alignment horizontal="center" vertical="center"/>
    </xf>
    <xf numFmtId="171" fontId="41" fillId="27" borderId="5" xfId="10" applyNumberFormat="1" applyFill="1" applyBorder="1" applyAlignment="1" applyProtection="1">
      <alignment horizontal="center" vertical="center" textRotation="90"/>
      <protection locked="0"/>
    </xf>
    <xf numFmtId="187" fontId="121" fillId="35" borderId="37" xfId="10" applyNumberFormat="1" applyFont="1" applyFill="1" applyBorder="1" applyAlignment="1">
      <alignment horizontal="center" vertical="center"/>
    </xf>
    <xf numFmtId="187" fontId="121" fillId="35" borderId="38" xfId="10" applyNumberFormat="1" applyFont="1" applyFill="1" applyBorder="1" applyAlignment="1">
      <alignment horizontal="center" vertical="center"/>
    </xf>
    <xf numFmtId="187" fontId="121" fillId="35" borderId="39" xfId="10" applyNumberFormat="1" applyFont="1" applyFill="1" applyBorder="1" applyAlignment="1">
      <alignment horizontal="center" vertical="center"/>
    </xf>
    <xf numFmtId="171" fontId="41" fillId="27" borderId="7" xfId="10" applyNumberFormat="1" applyFill="1" applyBorder="1" applyAlignment="1" applyProtection="1">
      <alignment horizontal="center" vertical="center"/>
      <protection locked="0"/>
    </xf>
    <xf numFmtId="171" fontId="41" fillId="27" borderId="0" xfId="10" applyNumberFormat="1" applyFill="1" applyAlignment="1" applyProtection="1">
      <alignment horizontal="center" vertical="center"/>
      <protection locked="0"/>
    </xf>
    <xf numFmtId="0" fontId="44" fillId="0" borderId="0" xfId="10" applyFont="1" applyAlignment="1">
      <alignment horizontal="center" vertical="center" wrapText="1"/>
    </xf>
    <xf numFmtId="187" fontId="121" fillId="0" borderId="0" xfId="10" applyNumberFormat="1" applyFont="1" applyAlignment="1">
      <alignment horizontal="center" vertical="center"/>
    </xf>
    <xf numFmtId="171" fontId="41" fillId="0" borderId="0" xfId="10" applyNumberFormat="1" applyAlignment="1" applyProtection="1">
      <alignment horizontal="center" vertical="center"/>
      <protection locked="0"/>
    </xf>
    <xf numFmtId="0" fontId="122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  <xf numFmtId="170" fontId="18" fillId="0" borderId="0" xfId="0" applyNumberFormat="1" applyFont="1" applyAlignment="1">
      <alignment horizontal="center" vertical="center"/>
    </xf>
    <xf numFmtId="0" fontId="64" fillId="33" borderId="3" xfId="4" applyFont="1" applyFill="1" applyBorder="1" applyAlignment="1">
      <alignment horizontal="center" vertical="center" wrapText="1"/>
    </xf>
    <xf numFmtId="0" fontId="64" fillId="33" borderId="2" xfId="4" applyFont="1" applyFill="1" applyBorder="1" applyAlignment="1">
      <alignment horizontal="center" vertical="center" wrapText="1"/>
    </xf>
    <xf numFmtId="0" fontId="64" fillId="33" borderId="1" xfId="4" applyFont="1" applyFill="1" applyBorder="1" applyAlignment="1">
      <alignment horizontal="center" vertical="center" wrapText="1"/>
    </xf>
    <xf numFmtId="0" fontId="64" fillId="33" borderId="5" xfId="4" applyFont="1" applyFill="1" applyBorder="1" applyAlignment="1">
      <alignment horizontal="center" vertical="center" wrapText="1"/>
    </xf>
    <xf numFmtId="0" fontId="64" fillId="33" borderId="0" xfId="4" applyFont="1" applyFill="1" applyAlignment="1">
      <alignment horizontal="center" vertical="center" wrapText="1"/>
    </xf>
    <xf numFmtId="0" fontId="64" fillId="33" borderId="4" xfId="4" applyFont="1" applyFill="1" applyBorder="1" applyAlignment="1">
      <alignment horizontal="center" vertical="center" wrapText="1"/>
    </xf>
    <xf numFmtId="0" fontId="39" fillId="0" borderId="8" xfId="8" applyFont="1" applyBorder="1" applyAlignment="1">
      <alignment horizontal="center" vertical="center"/>
    </xf>
    <xf numFmtId="0" fontId="39" fillId="0" borderId="7" xfId="8" applyFont="1" applyBorder="1" applyAlignment="1">
      <alignment horizontal="center" vertical="center"/>
    </xf>
    <xf numFmtId="0" fontId="39" fillId="0" borderId="6" xfId="8" applyFont="1" applyBorder="1" applyAlignment="1">
      <alignment horizontal="center" vertical="center"/>
    </xf>
    <xf numFmtId="0" fontId="39" fillId="0" borderId="5" xfId="8" applyFont="1" applyBorder="1" applyAlignment="1">
      <alignment horizontal="center" vertical="center"/>
    </xf>
    <xf numFmtId="0" fontId="39" fillId="0" borderId="0" xfId="8" applyFont="1" applyAlignment="1">
      <alignment horizontal="center" vertical="center"/>
    </xf>
    <xf numFmtId="0" fontId="39" fillId="0" borderId="4" xfId="8" applyFont="1" applyBorder="1" applyAlignment="1">
      <alignment horizontal="center" vertical="center"/>
    </xf>
    <xf numFmtId="0" fontId="123" fillId="32" borderId="8" xfId="8" applyFont="1" applyFill="1" applyBorder="1" applyAlignment="1">
      <alignment horizontal="center" vertical="center"/>
    </xf>
    <xf numFmtId="0" fontId="123" fillId="32" borderId="7" xfId="8" applyFont="1" applyFill="1" applyBorder="1" applyAlignment="1">
      <alignment horizontal="center" vertical="center"/>
    </xf>
    <xf numFmtId="0" fontId="123" fillId="32" borderId="6" xfId="8" applyFont="1" applyFill="1" applyBorder="1" applyAlignment="1">
      <alignment horizontal="center" vertical="center"/>
    </xf>
    <xf numFmtId="0" fontId="124" fillId="34" borderId="26" xfId="8" applyFont="1" applyFill="1" applyBorder="1" applyAlignment="1">
      <alignment horizontal="center"/>
    </xf>
    <xf numFmtId="0" fontId="124" fillId="23" borderId="26" xfId="8" applyFont="1" applyFill="1" applyBorder="1" applyAlignment="1">
      <alignment horizontal="center"/>
    </xf>
    <xf numFmtId="0" fontId="5" fillId="33" borderId="26" xfId="8" applyFont="1" applyFill="1" applyBorder="1" applyAlignment="1">
      <alignment horizontal="center" vertical="center"/>
    </xf>
    <xf numFmtId="0" fontId="64" fillId="35" borderId="5" xfId="4" applyFont="1" applyFill="1" applyBorder="1" applyAlignment="1">
      <alignment horizontal="left" vertical="center"/>
    </xf>
    <xf numFmtId="0" fontId="64" fillId="35" borderId="0" xfId="4" applyFont="1" applyFill="1" applyAlignment="1">
      <alignment horizontal="left" vertical="center"/>
    </xf>
    <xf numFmtId="0" fontId="5" fillId="35" borderId="5" xfId="8" applyFont="1" applyFill="1" applyBorder="1" applyAlignment="1">
      <alignment horizontal="left" vertical="center"/>
    </xf>
    <xf numFmtId="0" fontId="5" fillId="35" borderId="0" xfId="8" applyFont="1" applyFill="1" applyAlignment="1">
      <alignment horizontal="left" vertical="center"/>
    </xf>
    <xf numFmtId="0" fontId="64" fillId="35" borderId="5" xfId="4" applyFont="1" applyFill="1" applyBorder="1" applyAlignment="1">
      <alignment horizontal="center" wrapText="1"/>
    </xf>
    <xf numFmtId="0" fontId="64" fillId="35" borderId="0" xfId="4" applyFont="1" applyFill="1" applyAlignment="1">
      <alignment horizontal="center" wrapText="1"/>
    </xf>
    <xf numFmtId="0" fontId="5" fillId="33" borderId="86" xfId="8" applyFont="1" applyFill="1" applyBorder="1" applyAlignment="1">
      <alignment horizontal="center" vertical="center"/>
    </xf>
    <xf numFmtId="0" fontId="123" fillId="24" borderId="8" xfId="8" applyFont="1" applyFill="1" applyBorder="1" applyAlignment="1">
      <alignment horizontal="center" vertical="center"/>
    </xf>
    <xf numFmtId="0" fontId="123" fillId="24" borderId="7" xfId="8" applyFont="1" applyFill="1" applyBorder="1" applyAlignment="1">
      <alignment horizontal="center" vertical="center"/>
    </xf>
    <xf numFmtId="0" fontId="123" fillId="24" borderId="6" xfId="8" applyFont="1" applyFill="1" applyBorder="1" applyAlignment="1">
      <alignment horizontal="center" vertical="center"/>
    </xf>
    <xf numFmtId="0" fontId="64" fillId="35" borderId="8" xfId="4" applyFont="1" applyFill="1" applyBorder="1" applyAlignment="1">
      <alignment horizontal="center" wrapText="1"/>
    </xf>
    <xf numFmtId="0" fontId="64" fillId="35" borderId="6" xfId="4" applyFont="1" applyFill="1" applyBorder="1" applyAlignment="1">
      <alignment horizontal="center" wrapText="1"/>
    </xf>
    <xf numFmtId="0" fontId="64" fillId="35" borderId="4" xfId="4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52" fillId="35" borderId="26" xfId="8" applyFont="1" applyFill="1" applyBorder="1" applyAlignment="1">
      <alignment horizontal="center" vertical="center"/>
    </xf>
    <xf numFmtId="181" fontId="95" fillId="27" borderId="3" xfId="8" applyNumberFormat="1" applyFont="1" applyFill="1" applyBorder="1" applyAlignment="1" applyProtection="1">
      <alignment horizontal="center" vertical="center"/>
      <protection locked="0"/>
    </xf>
    <xf numFmtId="181" fontId="95" fillId="27" borderId="2" xfId="8" applyNumberFormat="1" applyFont="1" applyFill="1" applyBorder="1" applyAlignment="1" applyProtection="1">
      <alignment horizontal="center" vertical="center"/>
      <protection locked="0"/>
    </xf>
    <xf numFmtId="181" fontId="95" fillId="27" borderId="1" xfId="8" applyNumberFormat="1" applyFont="1" applyFill="1" applyBorder="1" applyAlignment="1" applyProtection="1">
      <alignment horizontal="center" vertical="center"/>
      <protection locked="0"/>
    </xf>
    <xf numFmtId="0" fontId="95" fillId="35" borderId="8" xfId="8" applyFont="1" applyFill="1" applyBorder="1" applyAlignment="1">
      <alignment horizontal="center"/>
    </xf>
    <xf numFmtId="0" fontId="95" fillId="35" borderId="7" xfId="8" applyFont="1" applyFill="1" applyBorder="1" applyAlignment="1">
      <alignment horizontal="center"/>
    </xf>
    <xf numFmtId="0" fontId="95" fillId="35" borderId="6" xfId="8" applyFont="1" applyFill="1" applyBorder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125" fillId="36" borderId="8" xfId="8" applyFont="1" applyFill="1" applyBorder="1" applyAlignment="1">
      <alignment horizontal="center" vertical="center"/>
    </xf>
    <xf numFmtId="0" fontId="125" fillId="36" borderId="6" xfId="8" applyFont="1" applyFill="1" applyBorder="1" applyAlignment="1">
      <alignment horizontal="center" vertical="center"/>
    </xf>
    <xf numFmtId="0" fontId="126" fillId="0" borderId="40" xfId="0" applyFont="1" applyBorder="1" applyAlignment="1">
      <alignment horizontal="right" vertical="center"/>
    </xf>
    <xf numFmtId="0" fontId="133" fillId="6" borderId="40" xfId="0" applyFont="1" applyFill="1" applyBorder="1" applyAlignment="1">
      <alignment horizontal="left" vertical="center"/>
    </xf>
    <xf numFmtId="0" fontId="59" fillId="0" borderId="0" xfId="0" applyFont="1" applyAlignment="1">
      <alignment horizontal="center"/>
    </xf>
    <xf numFmtId="0" fontId="129" fillId="11" borderId="40" xfId="0" applyFont="1" applyFill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1" fillId="0" borderId="40" xfId="0" applyFont="1" applyBorder="1" applyAlignment="1">
      <alignment horizontal="center" vertical="center"/>
    </xf>
    <xf numFmtId="0" fontId="131" fillId="0" borderId="40" xfId="0" applyFont="1" applyBorder="1" applyAlignment="1">
      <alignment horizontal="center" vertical="center"/>
    </xf>
    <xf numFmtId="0" fontId="139" fillId="11" borderId="40" xfId="0" applyFont="1" applyFill="1" applyBorder="1" applyAlignment="1">
      <alignment horizontal="center" vertical="center"/>
    </xf>
    <xf numFmtId="0" fontId="98" fillId="0" borderId="52" xfId="0" applyFont="1" applyBorder="1" applyAlignment="1">
      <alignment horizontal="left" vertical="center"/>
    </xf>
    <xf numFmtId="0" fontId="98" fillId="0" borderId="40" xfId="0" applyFont="1" applyBorder="1" applyAlignment="1">
      <alignment horizontal="left" vertical="center"/>
    </xf>
    <xf numFmtId="0" fontId="0" fillId="11" borderId="52" xfId="0" applyFill="1" applyBorder="1" applyAlignment="1">
      <alignment horizontal="center"/>
    </xf>
    <xf numFmtId="0" fontId="134" fillId="12" borderId="40" xfId="0" applyFont="1" applyFill="1" applyBorder="1" applyAlignment="1" applyProtection="1">
      <alignment horizontal="center" vertical="center"/>
      <protection locked="0"/>
    </xf>
    <xf numFmtId="0" fontId="75" fillId="0" borderId="40" xfId="0" applyFont="1" applyBorder="1" applyAlignment="1">
      <alignment horizontal="center" vertical="center"/>
    </xf>
    <xf numFmtId="0" fontId="135" fillId="13" borderId="40" xfId="0" applyFont="1" applyFill="1" applyBorder="1" applyAlignment="1">
      <alignment horizontal="center"/>
    </xf>
    <xf numFmtId="0" fontId="135" fillId="13" borderId="73" xfId="0" applyFont="1" applyFill="1" applyBorder="1" applyAlignment="1">
      <alignment horizontal="center"/>
    </xf>
    <xf numFmtId="2" fontId="137" fillId="14" borderId="40" xfId="0" applyNumberFormat="1" applyFont="1" applyFill="1" applyBorder="1" applyAlignment="1" applyProtection="1">
      <alignment horizontal="center" vertical="center"/>
      <protection locked="0"/>
    </xf>
    <xf numFmtId="0" fontId="137" fillId="14" borderId="40" xfId="0" applyFont="1" applyFill="1" applyBorder="1" applyAlignment="1" applyProtection="1">
      <alignment horizontal="center" vertical="center"/>
      <protection locked="0"/>
    </xf>
    <xf numFmtId="0" fontId="97" fillId="4" borderId="40" xfId="0" applyFont="1" applyFill="1" applyBorder="1" applyAlignment="1" applyProtection="1">
      <alignment horizontal="center" vertical="center"/>
      <protection locked="0"/>
    </xf>
    <xf numFmtId="0" fontId="97" fillId="4" borderId="73" xfId="0" applyFont="1" applyFill="1" applyBorder="1" applyAlignment="1" applyProtection="1">
      <alignment horizontal="center" vertical="center"/>
      <protection locked="0"/>
    </xf>
    <xf numFmtId="0" fontId="141" fillId="15" borderId="8" xfId="8" applyFont="1" applyFill="1" applyBorder="1" applyAlignment="1">
      <alignment horizontal="center" vertical="center"/>
    </xf>
    <xf numFmtId="0" fontId="141" fillId="15" borderId="3" xfId="8" applyFont="1" applyFill="1" applyBorder="1" applyAlignment="1">
      <alignment horizontal="center" vertical="center"/>
    </xf>
    <xf numFmtId="0" fontId="33" fillId="0" borderId="90" xfId="7" applyFont="1" applyBorder="1" applyAlignment="1">
      <alignment horizontal="center" vertical="center"/>
    </xf>
    <xf numFmtId="0" fontId="33" fillId="0" borderId="91" xfId="7" applyFont="1" applyBorder="1" applyAlignment="1">
      <alignment horizontal="center" vertical="center"/>
    </xf>
    <xf numFmtId="0" fontId="33" fillId="0" borderId="92" xfId="7" applyFont="1" applyBorder="1" applyAlignment="1">
      <alignment horizontal="center" vertical="center"/>
    </xf>
    <xf numFmtId="0" fontId="26" fillId="9" borderId="93" xfId="7" applyFont="1" applyFill="1" applyBorder="1" applyAlignment="1">
      <alignment horizontal="center" vertical="center"/>
    </xf>
    <xf numFmtId="0" fontId="7" fillId="0" borderId="0" xfId="8" applyAlignment="1">
      <alignment horizontal="left"/>
    </xf>
    <xf numFmtId="185" fontId="7" fillId="0" borderId="0" xfId="8" applyNumberFormat="1" applyAlignment="1">
      <alignment horizontal="center"/>
    </xf>
    <xf numFmtId="173" fontId="110" fillId="26" borderId="5" xfId="8" applyNumberFormat="1" applyFont="1" applyFill="1" applyBorder="1" applyAlignment="1">
      <alignment horizontal="center" vertical="center"/>
    </xf>
    <xf numFmtId="173" fontId="110" fillId="26" borderId="4" xfId="8" applyNumberFormat="1" applyFont="1" applyFill="1" applyBorder="1" applyAlignment="1">
      <alignment horizontal="center" vertical="center"/>
    </xf>
    <xf numFmtId="173" fontId="110" fillId="26" borderId="3" xfId="8" applyNumberFormat="1" applyFont="1" applyFill="1" applyBorder="1" applyAlignment="1">
      <alignment horizontal="center" vertical="center"/>
    </xf>
    <xf numFmtId="173" fontId="110" fillId="26" borderId="1" xfId="8" applyNumberFormat="1" applyFont="1" applyFill="1" applyBorder="1" applyAlignment="1">
      <alignment horizontal="center" vertical="center"/>
    </xf>
    <xf numFmtId="0" fontId="73" fillId="26" borderId="8" xfId="8" applyFont="1" applyFill="1" applyBorder="1" applyAlignment="1">
      <alignment horizontal="center" wrapText="1"/>
    </xf>
    <xf numFmtId="0" fontId="73" fillId="26" borderId="6" xfId="8" applyFont="1" applyFill="1" applyBorder="1" applyAlignment="1">
      <alignment horizontal="center" wrapText="1"/>
    </xf>
    <xf numFmtId="0" fontId="73" fillId="26" borderId="5" xfId="8" applyFont="1" applyFill="1" applyBorder="1" applyAlignment="1">
      <alignment horizontal="center" wrapText="1"/>
    </xf>
    <xf numFmtId="0" fontId="73" fillId="26" borderId="4" xfId="8" applyFont="1" applyFill="1" applyBorder="1" applyAlignment="1">
      <alignment horizontal="center" wrapText="1"/>
    </xf>
    <xf numFmtId="0" fontId="2" fillId="0" borderId="0" xfId="8" applyFont="1" applyAlignment="1">
      <alignment horizontal="center"/>
    </xf>
    <xf numFmtId="0" fontId="16" fillId="0" borderId="8" xfId="8" applyFont="1" applyBorder="1" applyAlignment="1">
      <alignment horizontal="center"/>
    </xf>
    <xf numFmtId="0" fontId="16" fillId="0" borderId="7" xfId="8" applyFont="1" applyBorder="1" applyAlignment="1">
      <alignment horizontal="center"/>
    </xf>
    <xf numFmtId="0" fontId="16" fillId="0" borderId="6" xfId="8" applyFont="1" applyBorder="1" applyAlignment="1">
      <alignment horizontal="center"/>
    </xf>
    <xf numFmtId="0" fontId="16" fillId="0" borderId="5" xfId="8" applyFont="1" applyBorder="1" applyAlignment="1">
      <alignment horizontal="center"/>
    </xf>
    <xf numFmtId="0" fontId="16" fillId="0" borderId="0" xfId="8" applyFont="1" applyAlignment="1">
      <alignment horizontal="center"/>
    </xf>
    <xf numFmtId="0" fontId="16" fillId="0" borderId="4" xfId="8" applyFont="1" applyBorder="1" applyAlignment="1">
      <alignment horizontal="center"/>
    </xf>
    <xf numFmtId="171" fontId="75" fillId="27" borderId="0" xfId="8" applyNumberFormat="1" applyFont="1" applyFill="1" applyAlignment="1" applyProtection="1">
      <alignment horizontal="center" vertical="center" textRotation="90"/>
      <protection locked="0"/>
    </xf>
    <xf numFmtId="171" fontId="75" fillId="27" borderId="7" xfId="8" applyNumberFormat="1" applyFont="1" applyFill="1" applyBorder="1" applyAlignment="1" applyProtection="1">
      <alignment horizontal="center" vertical="center"/>
      <protection locked="0"/>
    </xf>
    <xf numFmtId="171" fontId="75" fillId="27" borderId="0" xfId="8" applyNumberFormat="1" applyFont="1" applyFill="1" applyAlignment="1" applyProtection="1">
      <alignment horizontal="center" vertical="center"/>
      <protection locked="0"/>
    </xf>
    <xf numFmtId="0" fontId="8" fillId="0" borderId="0" xfId="8" applyFont="1" applyAlignment="1">
      <alignment horizontal="center"/>
    </xf>
    <xf numFmtId="185" fontId="8" fillId="0" borderId="0" xfId="8" applyNumberFormat="1" applyFont="1" applyAlignment="1">
      <alignment horizontal="center"/>
    </xf>
    <xf numFmtId="0" fontId="142" fillId="0" borderId="2" xfId="8" applyFont="1" applyBorder="1" applyAlignment="1">
      <alignment horizontal="center"/>
    </xf>
    <xf numFmtId="0" fontId="8" fillId="0" borderId="0" xfId="8" applyFont="1" applyAlignment="1">
      <alignment horizontal="right"/>
    </xf>
    <xf numFmtId="170" fontId="8" fillId="0" borderId="0" xfId="8" applyNumberFormat="1" applyFont="1" applyAlignment="1">
      <alignment horizontal="center"/>
    </xf>
    <xf numFmtId="0" fontId="120" fillId="30" borderId="0" xfId="0" applyFont="1" applyFill="1" applyAlignment="1">
      <alignment horizontal="center"/>
    </xf>
    <xf numFmtId="0" fontId="2" fillId="0" borderId="76" xfId="8" applyFont="1" applyBorder="1" applyAlignment="1">
      <alignment horizontal="center" vertical="center"/>
    </xf>
    <xf numFmtId="0" fontId="2" fillId="0" borderId="77" xfId="8" applyFont="1" applyBorder="1" applyAlignment="1">
      <alignment horizontal="center" vertical="center"/>
    </xf>
    <xf numFmtId="0" fontId="2" fillId="0" borderId="78" xfId="8" applyFont="1" applyBorder="1" applyAlignment="1">
      <alignment horizontal="center" vertical="center"/>
    </xf>
    <xf numFmtId="0" fontId="2" fillId="0" borderId="0" xfId="8" applyFont="1" applyAlignment="1">
      <alignment horizontal="center" vertical="center"/>
    </xf>
    <xf numFmtId="0" fontId="69" fillId="37" borderId="14" xfId="8" applyFont="1" applyFill="1" applyBorder="1" applyAlignment="1">
      <alignment horizontal="center"/>
    </xf>
    <xf numFmtId="0" fontId="69" fillId="37" borderId="26" xfId="8" applyFont="1" applyFill="1" applyBorder="1" applyAlignment="1">
      <alignment horizontal="center"/>
    </xf>
    <xf numFmtId="0" fontId="93" fillId="25" borderId="14" xfId="8" applyFont="1" applyFill="1" applyBorder="1" applyAlignment="1">
      <alignment horizontal="center"/>
    </xf>
    <xf numFmtId="0" fontId="93" fillId="25" borderId="26" xfId="8" applyFont="1" applyFill="1" applyBorder="1" applyAlignment="1">
      <alignment horizontal="center"/>
    </xf>
    <xf numFmtId="0" fontId="2" fillId="0" borderId="28" xfId="8" applyFont="1" applyBorder="1" applyAlignment="1">
      <alignment horizontal="center" vertical="center"/>
    </xf>
    <xf numFmtId="0" fontId="2" fillId="0" borderId="29" xfId="8" applyFont="1" applyBorder="1" applyAlignment="1">
      <alignment horizontal="center" vertical="center"/>
    </xf>
    <xf numFmtId="0" fontId="69" fillId="38" borderId="26" xfId="8" applyFont="1" applyFill="1" applyBorder="1" applyAlignment="1">
      <alignment horizontal="center" vertical="center"/>
    </xf>
    <xf numFmtId="0" fontId="69" fillId="38" borderId="34" xfId="8" applyFont="1" applyFill="1" applyBorder="1" applyAlignment="1">
      <alignment horizontal="center" vertical="center"/>
    </xf>
    <xf numFmtId="0" fontId="69" fillId="38" borderId="35" xfId="8" applyFont="1" applyFill="1" applyBorder="1" applyAlignment="1">
      <alignment horizontal="center" vertical="center"/>
    </xf>
    <xf numFmtId="0" fontId="93" fillId="25" borderId="86" xfId="8" applyFont="1" applyFill="1" applyBorder="1" applyAlignment="1">
      <alignment horizontal="center" vertical="center"/>
    </xf>
    <xf numFmtId="0" fontId="143" fillId="37" borderId="0" xfId="8" applyFont="1" applyFill="1" applyAlignment="1">
      <alignment horizontal="center"/>
    </xf>
    <xf numFmtId="0" fontId="144" fillId="37" borderId="8" xfId="8" applyFont="1" applyFill="1" applyBorder="1" applyAlignment="1">
      <alignment horizontal="center"/>
    </xf>
    <xf numFmtId="0" fontId="144" fillId="37" borderId="7" xfId="8" applyFont="1" applyFill="1" applyBorder="1" applyAlignment="1">
      <alignment horizontal="center"/>
    </xf>
    <xf numFmtId="0" fontId="144" fillId="37" borderId="6" xfId="8" applyFont="1" applyFill="1" applyBorder="1" applyAlignment="1">
      <alignment horizontal="center"/>
    </xf>
    <xf numFmtId="171" fontId="115" fillId="37" borderId="5" xfId="8" applyNumberFormat="1" applyFont="1" applyFill="1" applyBorder="1" applyAlignment="1">
      <alignment horizontal="center" vertical="center"/>
    </xf>
    <xf numFmtId="171" fontId="115" fillId="37" borderId="0" xfId="8" applyNumberFormat="1" applyFont="1" applyFill="1" applyAlignment="1">
      <alignment horizontal="center" vertical="center"/>
    </xf>
    <xf numFmtId="171" fontId="115" fillId="37" borderId="4" xfId="8" applyNumberFormat="1" applyFont="1" applyFill="1" applyBorder="1" applyAlignment="1">
      <alignment horizontal="center" vertical="center"/>
    </xf>
    <xf numFmtId="171" fontId="115" fillId="37" borderId="3" xfId="8" applyNumberFormat="1" applyFont="1" applyFill="1" applyBorder="1" applyAlignment="1">
      <alignment horizontal="center" vertical="center"/>
    </xf>
    <xf numFmtId="171" fontId="115" fillId="37" borderId="2" xfId="8" applyNumberFormat="1" applyFont="1" applyFill="1" applyBorder="1" applyAlignment="1">
      <alignment horizontal="center" vertical="center"/>
    </xf>
    <xf numFmtId="171" fontId="115" fillId="37" borderId="1" xfId="8" applyNumberFormat="1" applyFont="1" applyFill="1" applyBorder="1" applyAlignment="1">
      <alignment horizontal="center" vertical="center"/>
    </xf>
    <xf numFmtId="194" fontId="24" fillId="0" borderId="14" xfId="8" applyNumberFormat="1" applyFont="1" applyBorder="1" applyAlignment="1" applyProtection="1">
      <alignment horizontal="center" vertical="center"/>
      <protection locked="0"/>
    </xf>
    <xf numFmtId="194" fontId="24" fillId="0" borderId="9" xfId="8" applyNumberFormat="1" applyFont="1" applyBorder="1" applyAlignment="1" applyProtection="1">
      <alignment horizontal="center" vertical="center"/>
      <protection locked="0"/>
    </xf>
    <xf numFmtId="171" fontId="24" fillId="0" borderId="26" xfId="8" applyNumberFormat="1" applyFont="1" applyBorder="1" applyAlignment="1" applyProtection="1">
      <alignment horizontal="center" vertical="center"/>
      <protection locked="0"/>
    </xf>
    <xf numFmtId="171" fontId="24" fillId="0" borderId="10" xfId="8" applyNumberFormat="1" applyFont="1" applyBorder="1" applyAlignment="1" applyProtection="1">
      <alignment horizontal="center" vertical="center"/>
      <protection locked="0"/>
    </xf>
    <xf numFmtId="0" fontId="24" fillId="29" borderId="26" xfId="8" applyFont="1" applyFill="1" applyBorder="1" applyAlignment="1">
      <alignment horizontal="center" vertical="center"/>
    </xf>
    <xf numFmtId="0" fontId="24" fillId="29" borderId="10" xfId="8" applyFont="1" applyFill="1" applyBorder="1" applyAlignment="1">
      <alignment horizontal="center" vertical="center"/>
    </xf>
    <xf numFmtId="171" fontId="24" fillId="0" borderId="15" xfId="8" applyNumberFormat="1" applyFont="1" applyBorder="1" applyAlignment="1" applyProtection="1">
      <alignment horizontal="center" vertical="center"/>
      <protection locked="0"/>
    </xf>
    <xf numFmtId="171" fontId="24" fillId="0" borderId="16" xfId="8" applyNumberFormat="1" applyFont="1" applyBorder="1" applyAlignment="1" applyProtection="1">
      <alignment horizontal="center" vertical="center"/>
      <protection locked="0"/>
    </xf>
    <xf numFmtId="0" fontId="94" fillId="38" borderId="76" xfId="8" applyFont="1" applyFill="1" applyBorder="1" applyAlignment="1">
      <alignment horizontal="center" vertical="center"/>
    </xf>
    <xf numFmtId="0" fontId="94" fillId="38" borderId="77" xfId="8" applyFont="1" applyFill="1" applyBorder="1" applyAlignment="1">
      <alignment horizontal="center" vertical="center"/>
    </xf>
    <xf numFmtId="171" fontId="95" fillId="0" borderId="37" xfId="8" applyNumberFormat="1" applyFont="1" applyBorder="1" applyAlignment="1" applyProtection="1">
      <alignment horizontal="center" vertical="center"/>
      <protection locked="0"/>
    </xf>
    <xf numFmtId="171" fontId="95" fillId="0" borderId="38" xfId="8" applyNumberFormat="1" applyFont="1" applyBorder="1" applyAlignment="1" applyProtection="1">
      <alignment horizontal="center" vertical="center"/>
      <protection locked="0"/>
    </xf>
    <xf numFmtId="171" fontId="95" fillId="0" borderId="39" xfId="8" applyNumberFormat="1" applyFont="1" applyBorder="1" applyAlignment="1" applyProtection="1">
      <alignment horizontal="center" vertical="center"/>
      <protection locked="0"/>
    </xf>
    <xf numFmtId="177" fontId="75" fillId="29" borderId="37" xfId="8" applyNumberFormat="1" applyFont="1" applyFill="1" applyBorder="1" applyAlignment="1">
      <alignment horizontal="center" vertical="center"/>
    </xf>
    <xf numFmtId="177" fontId="75" fillId="29" borderId="38" xfId="8" applyNumberFormat="1" applyFont="1" applyFill="1" applyBorder="1" applyAlignment="1">
      <alignment horizontal="center" vertical="center"/>
    </xf>
    <xf numFmtId="177" fontId="75" fillId="29" borderId="39" xfId="8" applyNumberFormat="1" applyFont="1" applyFill="1" applyBorder="1" applyAlignment="1">
      <alignment horizontal="center" vertical="center"/>
    </xf>
    <xf numFmtId="171" fontId="152" fillId="44" borderId="95" xfId="8" applyNumberFormat="1" applyFont="1" applyFill="1" applyBorder="1" applyAlignment="1">
      <alignment horizontal="center"/>
    </xf>
    <xf numFmtId="0" fontId="45" fillId="38" borderId="105" xfId="8" applyFont="1" applyFill="1" applyBorder="1" applyAlignment="1">
      <alignment horizontal="center" vertical="center"/>
    </xf>
    <xf numFmtId="0" fontId="54" fillId="52" borderId="99" xfId="8" applyFont="1" applyFill="1" applyBorder="1" applyAlignment="1" applyProtection="1">
      <alignment horizontal="center"/>
      <protection locked="0"/>
    </xf>
    <xf numFmtId="0" fontId="45" fillId="38" borderId="99" xfId="8" applyFont="1" applyFill="1" applyBorder="1" applyAlignment="1">
      <alignment horizontal="center" vertical="center"/>
    </xf>
    <xf numFmtId="171" fontId="54" fillId="52" borderId="99" xfId="8" applyNumberFormat="1" applyFont="1" applyFill="1" applyBorder="1" applyAlignment="1" applyProtection="1">
      <alignment horizontal="center"/>
      <protection locked="0"/>
    </xf>
    <xf numFmtId="171" fontId="54" fillId="52" borderId="107" xfId="8" applyNumberFormat="1" applyFont="1" applyFill="1" applyBorder="1" applyAlignment="1" applyProtection="1">
      <alignment horizontal="center"/>
      <protection locked="0"/>
    </xf>
    <xf numFmtId="171" fontId="54" fillId="52" borderId="108" xfId="8" applyNumberFormat="1" applyFont="1" applyFill="1" applyBorder="1" applyAlignment="1" applyProtection="1">
      <alignment horizontal="center"/>
      <protection locked="0"/>
    </xf>
    <xf numFmtId="171" fontId="54" fillId="52" borderId="109" xfId="8" applyNumberFormat="1" applyFont="1" applyFill="1" applyBorder="1" applyAlignment="1" applyProtection="1">
      <alignment horizontal="center"/>
      <protection locked="0"/>
    </xf>
    <xf numFmtId="197" fontId="69" fillId="44" borderId="99" xfId="8" applyNumberFormat="1" applyFont="1" applyFill="1" applyBorder="1" applyAlignment="1">
      <alignment horizontal="center"/>
    </xf>
    <xf numFmtId="0" fontId="57" fillId="44" borderId="100" xfId="8" applyFont="1" applyFill="1" applyBorder="1" applyAlignment="1">
      <alignment horizontal="center"/>
    </xf>
    <xf numFmtId="0" fontId="36" fillId="0" borderId="0" xfId="8" applyFont="1" applyAlignment="1">
      <alignment horizontal="center" vertical="center"/>
    </xf>
    <xf numFmtId="0" fontId="151" fillId="44" borderId="0" xfId="8" applyFont="1" applyFill="1" applyAlignment="1">
      <alignment horizontal="center" vertical="center"/>
    </xf>
    <xf numFmtId="198" fontId="151" fillId="44" borderId="0" xfId="8" applyNumberFormat="1" applyFont="1" applyFill="1" applyAlignment="1">
      <alignment horizontal="center" vertical="center"/>
    </xf>
    <xf numFmtId="0" fontId="73" fillId="0" borderId="101" xfId="8" applyFont="1" applyBorder="1" applyAlignment="1">
      <alignment horizontal="center" vertical="center"/>
    </xf>
    <xf numFmtId="0" fontId="73" fillId="0" borderId="102" xfId="8" applyFont="1" applyBorder="1" applyAlignment="1">
      <alignment horizontal="center" vertical="center"/>
    </xf>
    <xf numFmtId="0" fontId="73" fillId="0" borderId="103" xfId="8" applyFont="1" applyBorder="1" applyAlignment="1">
      <alignment horizontal="center" vertical="center"/>
    </xf>
    <xf numFmtId="0" fontId="73" fillId="0" borderId="51" xfId="8" applyFont="1" applyBorder="1" applyAlignment="1">
      <alignment horizontal="center" vertical="center"/>
    </xf>
    <xf numFmtId="0" fontId="73" fillId="0" borderId="74" xfId="8" applyFont="1" applyBorder="1" applyAlignment="1">
      <alignment horizontal="center" vertical="center"/>
    </xf>
    <xf numFmtId="0" fontId="73" fillId="0" borderId="68" xfId="8" applyFont="1" applyBorder="1" applyAlignment="1">
      <alignment horizontal="center" vertical="center"/>
    </xf>
    <xf numFmtId="0" fontId="73" fillId="0" borderId="104" xfId="8" applyFont="1" applyBorder="1" applyAlignment="1">
      <alignment horizontal="center" vertical="center"/>
    </xf>
    <xf numFmtId="171" fontId="54" fillId="52" borderId="112" xfId="8" applyNumberFormat="1" applyFont="1" applyFill="1" applyBorder="1" applyAlignment="1" applyProtection="1">
      <alignment horizontal="center"/>
      <protection locked="0"/>
    </xf>
    <xf numFmtId="0" fontId="45" fillId="38" borderId="8" xfId="8" applyFont="1" applyFill="1" applyBorder="1" applyAlignment="1">
      <alignment horizontal="center" vertical="center"/>
    </xf>
    <xf numFmtId="0" fontId="45" fillId="38" borderId="7" xfId="8" applyFont="1" applyFill="1" applyBorder="1" applyAlignment="1">
      <alignment horizontal="center" vertical="center"/>
    </xf>
    <xf numFmtId="0" fontId="45" fillId="38" borderId="6" xfId="8" applyFont="1" applyFill="1" applyBorder="1" applyAlignment="1">
      <alignment horizontal="center" vertical="center"/>
    </xf>
    <xf numFmtId="0" fontId="45" fillId="38" borderId="5" xfId="8" applyFont="1" applyFill="1" applyBorder="1" applyAlignment="1">
      <alignment horizontal="center" vertical="center"/>
    </xf>
    <xf numFmtId="0" fontId="45" fillId="38" borderId="0" xfId="8" applyFont="1" applyFill="1" applyAlignment="1">
      <alignment horizontal="center" vertical="center"/>
    </xf>
    <xf numFmtId="0" fontId="45" fillId="38" borderId="4" xfId="8" applyFont="1" applyFill="1" applyBorder="1" applyAlignment="1">
      <alignment horizontal="center" vertical="center"/>
    </xf>
    <xf numFmtId="0" fontId="45" fillId="38" borderId="3" xfId="8" applyFont="1" applyFill="1" applyBorder="1" applyAlignment="1">
      <alignment horizontal="center" vertical="center"/>
    </xf>
    <xf numFmtId="0" fontId="45" fillId="38" borderId="2" xfId="8" applyFont="1" applyFill="1" applyBorder="1" applyAlignment="1">
      <alignment horizontal="center" vertical="center"/>
    </xf>
    <xf numFmtId="0" fontId="45" fillId="38" borderId="1" xfId="8" applyFont="1" applyFill="1" applyBorder="1" applyAlignment="1">
      <alignment horizontal="center" vertical="center"/>
    </xf>
    <xf numFmtId="0" fontId="45" fillId="38" borderId="114" xfId="8" applyFont="1" applyFill="1" applyBorder="1" applyAlignment="1">
      <alignment horizontal="center" vertical="center"/>
    </xf>
    <xf numFmtId="0" fontId="45" fillId="38" borderId="110" xfId="8" applyFont="1" applyFill="1" applyBorder="1" applyAlignment="1">
      <alignment horizontal="center" vertical="center"/>
    </xf>
    <xf numFmtId="0" fontId="45" fillId="38" borderId="115" xfId="8" applyFont="1" applyFill="1" applyBorder="1" applyAlignment="1">
      <alignment horizontal="center" vertical="center"/>
    </xf>
    <xf numFmtId="0" fontId="45" fillId="38" borderId="116" xfId="8" applyFont="1" applyFill="1" applyBorder="1" applyAlignment="1">
      <alignment horizontal="center" vertical="center"/>
    </xf>
    <xf numFmtId="0" fontId="45" fillId="38" borderId="111" xfId="8" applyFont="1" applyFill="1" applyBorder="1" applyAlignment="1">
      <alignment horizontal="center" vertical="center"/>
    </xf>
    <xf numFmtId="0" fontId="45" fillId="38" borderId="117" xfId="8" applyFont="1" applyFill="1" applyBorder="1" applyAlignment="1">
      <alignment horizontal="center" vertical="center"/>
    </xf>
    <xf numFmtId="0" fontId="136" fillId="38" borderId="96" xfId="8" applyFont="1" applyFill="1" applyBorder="1" applyAlignment="1">
      <alignment horizontal="center"/>
    </xf>
    <xf numFmtId="171" fontId="91" fillId="52" borderId="97" xfId="8" applyNumberFormat="1" applyFont="1" applyFill="1" applyBorder="1" applyAlignment="1" applyProtection="1">
      <alignment horizontal="center" vertical="center"/>
      <protection locked="0"/>
    </xf>
    <xf numFmtId="171" fontId="91" fillId="52" borderId="98" xfId="8" applyNumberFormat="1" applyFont="1" applyFill="1" applyBorder="1" applyAlignment="1" applyProtection="1">
      <alignment horizontal="center" vertical="center"/>
      <protection locked="0"/>
    </xf>
    <xf numFmtId="197" fontId="69" fillId="44" borderId="113" xfId="8" applyNumberFormat="1" applyFont="1" applyFill="1" applyBorder="1" applyAlignment="1">
      <alignment horizontal="center"/>
    </xf>
    <xf numFmtId="197" fontId="150" fillId="38" borderId="95" xfId="8" applyNumberFormat="1" applyFont="1" applyFill="1" applyBorder="1" applyAlignment="1">
      <alignment horizontal="center"/>
    </xf>
    <xf numFmtId="196" fontId="150" fillId="38" borderId="95" xfId="8" applyNumberFormat="1" applyFont="1" applyFill="1" applyBorder="1" applyAlignment="1">
      <alignment horizontal="center"/>
    </xf>
    <xf numFmtId="171" fontId="151" fillId="44" borderId="0" xfId="8" applyNumberFormat="1" applyFont="1" applyFill="1" applyAlignment="1">
      <alignment horizontal="center" vertical="center"/>
    </xf>
    <xf numFmtId="0" fontId="154" fillId="36" borderId="26" xfId="0" applyFont="1" applyFill="1" applyBorder="1" applyAlignment="1">
      <alignment horizontal="center" vertical="center"/>
    </xf>
    <xf numFmtId="0" fontId="154" fillId="53" borderId="86" xfId="0" applyFont="1" applyFill="1" applyBorder="1" applyAlignment="1" applyProtection="1">
      <alignment horizontal="center" vertical="center"/>
      <protection locked="0"/>
    </xf>
    <xf numFmtId="0" fontId="154" fillId="53" borderId="106" xfId="0" applyFont="1" applyFill="1" applyBorder="1" applyAlignment="1" applyProtection="1">
      <alignment horizontal="center" vertical="center"/>
      <protection locked="0"/>
    </xf>
    <xf numFmtId="0" fontId="155" fillId="53" borderId="106" xfId="0" applyFont="1" applyFill="1" applyBorder="1" applyAlignment="1">
      <alignment horizontal="center"/>
    </xf>
    <xf numFmtId="2" fontId="155" fillId="53" borderId="106" xfId="0" applyNumberFormat="1" applyFont="1" applyFill="1" applyBorder="1" applyAlignment="1">
      <alignment horizontal="center" vertical="center"/>
    </xf>
    <xf numFmtId="0" fontId="154" fillId="53" borderId="22" xfId="0" applyFont="1" applyFill="1" applyBorder="1" applyAlignment="1" applyProtection="1">
      <alignment horizontal="center" vertical="center"/>
      <protection locked="0"/>
    </xf>
    <xf numFmtId="0" fontId="154" fillId="53" borderId="23" xfId="0" applyFont="1" applyFill="1" applyBorder="1" applyAlignment="1" applyProtection="1">
      <alignment horizontal="center" vertical="center"/>
      <protection locked="0"/>
    </xf>
    <xf numFmtId="0" fontId="154" fillId="53" borderId="24" xfId="0" applyFont="1" applyFill="1" applyBorder="1" applyAlignment="1" applyProtection="1">
      <alignment horizontal="center" vertical="center"/>
      <protection locked="0"/>
    </xf>
    <xf numFmtId="0" fontId="154" fillId="53" borderId="25" xfId="0" applyFont="1" applyFill="1" applyBorder="1" applyAlignment="1" applyProtection="1">
      <alignment horizontal="center" vertical="center"/>
      <protection locked="0"/>
    </xf>
    <xf numFmtId="0" fontId="154" fillId="53" borderId="0" xfId="0" applyFont="1" applyFill="1" applyAlignment="1" applyProtection="1">
      <alignment horizontal="center" vertical="center"/>
      <protection locked="0"/>
    </xf>
    <xf numFmtId="0" fontId="154" fillId="53" borderId="27" xfId="0" applyFont="1" applyFill="1" applyBorder="1" applyAlignment="1" applyProtection="1">
      <alignment horizontal="center" vertical="center"/>
      <protection locked="0"/>
    </xf>
    <xf numFmtId="173" fontId="155" fillId="53" borderId="25" xfId="0" applyNumberFormat="1" applyFont="1" applyFill="1" applyBorder="1" applyAlignment="1">
      <alignment horizontal="center"/>
    </xf>
    <xf numFmtId="173" fontId="155" fillId="53" borderId="0" xfId="0" applyNumberFormat="1" applyFont="1" applyFill="1" applyAlignment="1">
      <alignment horizontal="center"/>
    </xf>
    <xf numFmtId="173" fontId="155" fillId="53" borderId="27" xfId="0" applyNumberFormat="1" applyFont="1" applyFill="1" applyBorder="1" applyAlignment="1">
      <alignment horizontal="center"/>
    </xf>
  </cellXfs>
  <cellStyles count="15">
    <cellStyle name="Hiperlink" xfId="1" builtinId="8"/>
    <cellStyle name="Hyperlink 2" xfId="2" xr:uid="{00000000-0005-0000-0000-000001000000}"/>
    <cellStyle name="Moeda 2" xfId="3" xr:uid="{00000000-0005-0000-0000-000002000000}"/>
    <cellStyle name="Normal" xfId="0" builtinId="0"/>
    <cellStyle name="Normal 11 2" xfId="4" xr:uid="{00000000-0005-0000-0000-000004000000}"/>
    <cellStyle name="Normal 11 3" xfId="5" xr:uid="{00000000-0005-0000-0000-000005000000}"/>
    <cellStyle name="Normal 12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Porcentagem 2" xfId="13" xr:uid="{00000000-0005-0000-0000-00000D000000}"/>
    <cellStyle name="Vírgula" xfId="14" builtinId="3"/>
  </cellStyles>
  <dxfs count="9">
    <dxf>
      <font>
        <b/>
        <i val="0"/>
        <condense val="0"/>
        <extend val="0"/>
        <color indexed="8"/>
      </font>
      <fill>
        <patternFill patternType="solid">
          <fgColor indexed="34"/>
          <bgColor indexed="13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condense val="0"/>
        <extend val="0"/>
        <color indexed="8"/>
      </font>
      <fill>
        <patternFill patternType="solid">
          <fgColor indexed="60"/>
          <bgColor indexed="10"/>
        </patternFill>
      </fill>
    </dxf>
    <dxf>
      <font>
        <b/>
        <i val="0"/>
        <condense val="0"/>
        <extend val="0"/>
      </font>
    </dxf>
    <dxf>
      <font>
        <b val="0"/>
        <condense val="0"/>
        <extend val="0"/>
        <color indexed="10"/>
      </font>
    </dxf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  <dxf>
      <font>
        <b/>
        <i val="0"/>
        <condense val="0"/>
        <extend val="0"/>
        <color indexed="8"/>
      </font>
      <fill>
        <patternFill patternType="solid">
          <fgColor indexed="34"/>
          <bgColor indexed="13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condense val="0"/>
        <extend val="0"/>
        <color indexed="8"/>
      </font>
      <fill>
        <patternFill patternType="solid">
          <fgColor indexed="60"/>
          <bgColor indexed="10"/>
        </patternFill>
      </fill>
    </dxf>
    <dxf>
      <font>
        <b/>
        <i val="0"/>
        <condense val="0"/>
        <extend val="0"/>
      </font>
    </dxf>
  </dxfs>
  <tableStyles count="0" defaultTableStyle="TableStyleMedium9" defaultPivotStyle="PivotStyleLight16"/>
  <colors>
    <mruColors>
      <color rgb="FF000099"/>
      <color rgb="FF275E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Vigas U'!A1"/><Relationship Id="rId18" Type="http://schemas.openxmlformats.org/officeDocument/2006/relationships/hyperlink" Target="#'Tubo Retangular'!A1"/><Relationship Id="rId26" Type="http://schemas.openxmlformats.org/officeDocument/2006/relationships/hyperlink" Target="#Volume!A1"/><Relationship Id="rId3" Type="http://schemas.openxmlformats.org/officeDocument/2006/relationships/hyperlink" Target="#'Desenvolvimento de Chapas'!A1"/><Relationship Id="rId21" Type="http://schemas.openxmlformats.org/officeDocument/2006/relationships/hyperlink" Target="#'Quantidade Tinta P&#243;'!A1"/><Relationship Id="rId34" Type="http://schemas.openxmlformats.org/officeDocument/2006/relationships/hyperlink" Target="#'Aproveitamento Sliter'!A1"/><Relationship Id="rId7" Type="http://schemas.openxmlformats.org/officeDocument/2006/relationships/hyperlink" Target="#'Barra Sextavada'!A1"/><Relationship Id="rId12" Type="http://schemas.openxmlformats.org/officeDocument/2006/relationships/hyperlink" Target="#'Perfil T'!A1"/><Relationship Id="rId17" Type="http://schemas.openxmlformats.org/officeDocument/2006/relationships/hyperlink" Target="#'Tubo Redondo'!A1"/><Relationship Id="rId25" Type="http://schemas.openxmlformats.org/officeDocument/2006/relationships/hyperlink" Target="#'Tempo T&#250;nel Pintura'!A1"/><Relationship Id="rId33" Type="http://schemas.openxmlformats.org/officeDocument/2006/relationships/hyperlink" Target="#'Ferro Chato'!A1"/><Relationship Id="rId2" Type="http://schemas.openxmlformats.org/officeDocument/2006/relationships/hyperlink" Target="#'Ativar Macros'!A1"/><Relationship Id="rId16" Type="http://schemas.openxmlformats.org/officeDocument/2006/relationships/hyperlink" Target="#'Tubo Quadrado'!A1"/><Relationship Id="rId20" Type="http://schemas.openxmlformats.org/officeDocument/2006/relationships/hyperlink" Target="#'Pintura Pistola'!A1"/><Relationship Id="rId29" Type="http://schemas.openxmlformats.org/officeDocument/2006/relationships/hyperlink" Target="#'Convers&#227;o mm x in'!A1"/><Relationship Id="rId1" Type="http://schemas.openxmlformats.org/officeDocument/2006/relationships/image" Target="../media/image1.png"/><Relationship Id="rId6" Type="http://schemas.openxmlformats.org/officeDocument/2006/relationships/hyperlink" Target="#'Barra Redonda'!A1"/><Relationship Id="rId11" Type="http://schemas.openxmlformats.org/officeDocument/2006/relationships/hyperlink" Target="#'Vigas I'!A1"/><Relationship Id="rId24" Type="http://schemas.openxmlformats.org/officeDocument/2006/relationships/hyperlink" Target="#'Tempo Pintura Pistola'!A1"/><Relationship Id="rId32" Type="http://schemas.openxmlformats.org/officeDocument/2006/relationships/hyperlink" Target="#'Definir Prensa'!A1"/><Relationship Id="rId5" Type="http://schemas.openxmlformats.org/officeDocument/2006/relationships/hyperlink" Target="#'Barra Quadrada'!A1"/><Relationship Id="rId15" Type="http://schemas.openxmlformats.org/officeDocument/2006/relationships/hyperlink" Target="#'C&#225;lculo Sobra Tubos'!A1"/><Relationship Id="rId23" Type="http://schemas.openxmlformats.org/officeDocument/2006/relationships/hyperlink" Target="#'Tempos EMS'!A1"/><Relationship Id="rId28" Type="http://schemas.openxmlformats.org/officeDocument/2006/relationships/hyperlink" Target="#'Aproveitamento + Guilhotina'!A1"/><Relationship Id="rId36" Type="http://schemas.openxmlformats.org/officeDocument/2006/relationships/hyperlink" Target="#'Corte Laser 2D - 12kW'!A1"/><Relationship Id="rId10" Type="http://schemas.openxmlformats.org/officeDocument/2006/relationships/hyperlink" Target="#'Peso Chapas Pl&#225;sticas'!A1"/><Relationship Id="rId19" Type="http://schemas.openxmlformats.org/officeDocument/2006/relationships/hyperlink" Target="#'Custo M&#227;o de Obra Pl&#225;sticos'!A1"/><Relationship Id="rId31" Type="http://schemas.openxmlformats.org/officeDocument/2006/relationships/hyperlink" Target="#'Corte Laser 2D - 3kW'!A1"/><Relationship Id="rId4" Type="http://schemas.openxmlformats.org/officeDocument/2006/relationships/hyperlink" Target="#'Raio M&#233;dio'!A1"/><Relationship Id="rId9" Type="http://schemas.openxmlformats.org/officeDocument/2006/relationships/hyperlink" Target="#'Chapa Circular'!A1"/><Relationship Id="rId14" Type="http://schemas.openxmlformats.org/officeDocument/2006/relationships/hyperlink" Target="#'Pl&#225;stico Bolha'!A1"/><Relationship Id="rId22" Type="http://schemas.openxmlformats.org/officeDocument/2006/relationships/hyperlink" Target="#'T&#250;nel Pintura'!A1"/><Relationship Id="rId27" Type="http://schemas.openxmlformats.org/officeDocument/2006/relationships/hyperlink" Target="#'Fator K'!A1"/><Relationship Id="rId30" Type="http://schemas.openxmlformats.org/officeDocument/2006/relationships/hyperlink" Target="#'&#248; para Per&#237;metro'!A1"/><Relationship Id="rId35" Type="http://schemas.openxmlformats.org/officeDocument/2006/relationships/hyperlink" Target="#'Corte Laser 3D'!A1"/><Relationship Id="rId8" Type="http://schemas.openxmlformats.org/officeDocument/2006/relationships/hyperlink" Target="#Cantoneira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5" Type="http://schemas.openxmlformats.org/officeDocument/2006/relationships/image" Target="../media/image2.gif"/><Relationship Id="rId4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1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hyperlink" Target="#MENU!A1"/><Relationship Id="rId1" Type="http://schemas.openxmlformats.org/officeDocument/2006/relationships/image" Target="../media/image1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7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19.png"/><Relationship Id="rId1" Type="http://schemas.openxmlformats.org/officeDocument/2006/relationships/image" Target="../media/image18.jpeg"/><Relationship Id="rId4" Type="http://schemas.openxmlformats.org/officeDocument/2006/relationships/image" Target="../media/image2.gif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20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2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4" Type="http://schemas.openxmlformats.org/officeDocument/2006/relationships/image" Target="../media/image2.gif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hyperlink" Target="#MENU!A1"/><Relationship Id="rId1" Type="http://schemas.openxmlformats.org/officeDocument/2006/relationships/image" Target="../media/image2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jpeg"/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#MENU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hyperlink" Target="#MENU!A1"/><Relationship Id="rId4" Type="http://schemas.openxmlformats.org/officeDocument/2006/relationships/image" Target="../media/image28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38100</xdr:rowOff>
    </xdr:from>
    <xdr:to>
      <xdr:col>20</xdr:col>
      <xdr:colOff>485775</xdr:colOff>
      <xdr:row>2</xdr:row>
      <xdr:rowOff>104775</xdr:rowOff>
    </xdr:to>
    <xdr:sp macro="" textlink="">
      <xdr:nvSpPr>
        <xdr:cNvPr id="45" name="Retângulo de cantos arredondados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33350" y="38100"/>
          <a:ext cx="12544425" cy="600075"/>
        </a:xfrm>
        <a:prstGeom prst="roundRect">
          <a:avLst/>
        </a:prstGeom>
        <a:solidFill>
          <a:schemeClr val="accent2">
            <a:lumMod val="75000"/>
          </a:schemeClr>
        </a:solidFill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400" b="1" cap="none" spc="0">
              <a:ln w="9525">
                <a:solidFill>
                  <a:srgbClr val="FF0000"/>
                </a:solidFill>
                <a:prstDash val="solid"/>
              </a:ln>
              <a:solidFill>
                <a:schemeClr val="bg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Planilhas</a:t>
          </a:r>
          <a:r>
            <a:rPr lang="pt-BR" sz="2400" b="1" cap="none" spc="0" baseline="0">
              <a:ln w="9525">
                <a:solidFill>
                  <a:srgbClr val="FF0000"/>
                </a:solidFill>
                <a:prstDash val="solid"/>
              </a:ln>
              <a:solidFill>
                <a:schemeClr val="bg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de Cálculo para Engenharia - AMALCABURIO 2025</a:t>
          </a:r>
          <a:endParaRPr lang="pt-BR" sz="2400" b="1" cap="none" spc="0">
            <a:ln w="9525">
              <a:solidFill>
                <a:srgbClr val="FF0000"/>
              </a:solidFill>
              <a:prstDash val="solid"/>
            </a:ln>
            <a:solidFill>
              <a:schemeClr val="bg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17</xdr:col>
      <xdr:colOff>371475</xdr:colOff>
      <xdr:row>24</xdr:row>
      <xdr:rowOff>66675</xdr:rowOff>
    </xdr:from>
    <xdr:to>
      <xdr:col>20</xdr:col>
      <xdr:colOff>533400</xdr:colOff>
      <xdr:row>27</xdr:row>
      <xdr:rowOff>28575</xdr:rowOff>
    </xdr:to>
    <xdr:pic>
      <xdr:nvPicPr>
        <xdr:cNvPr id="1026" name="Imagem 45" descr="Amalcaburio Logo.bmp">
          <a:extLst>
            <a:ext uri="{FF2B5EF4-FFF2-40B4-BE49-F238E27FC236}">
              <a16:creationId xmlns:a16="http://schemas.microsoft.com/office/drawing/2014/main" id="{1EC20671-32DB-4398-A67B-A87EDC51F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4791075"/>
          <a:ext cx="19907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228601</xdr:colOff>
      <xdr:row>26</xdr:row>
      <xdr:rowOff>57149</xdr:rowOff>
    </xdr:from>
    <xdr:to>
      <xdr:col>17</xdr:col>
      <xdr:colOff>228601</xdr:colOff>
      <xdr:row>27</xdr:row>
      <xdr:rowOff>28574</xdr:rowOff>
    </xdr:to>
    <xdr:sp macro="" textlink="">
      <xdr:nvSpPr>
        <xdr:cNvPr id="41" name="Retângulo de cantos arredondados 40">
          <a:hlinkClick xmlns:r="http://schemas.openxmlformats.org/officeDocument/2006/relationships" r:id="rId2" tooltip="Clique Aqui para Dica de Como Ativar as Macros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28601" y="4781549"/>
          <a:ext cx="10363200" cy="161925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 i="0">
              <a:solidFill>
                <a:sysClr val="windowText" lastClr="000000"/>
              </a:solidFill>
            </a:rPr>
            <a:t>LEMBRE-SE DE ATIVAR</a:t>
          </a:r>
          <a:r>
            <a:rPr lang="pt-BR" sz="1100" b="1" i="0" baseline="0">
              <a:solidFill>
                <a:sysClr val="windowText" lastClr="000000"/>
              </a:solidFill>
            </a:rPr>
            <a:t> AS MACROS PARA QUE AS FÓRMULAS MATEMÁTICAS FUNCIONEM CORRETAMENTE.</a:t>
          </a:r>
          <a:endParaRPr lang="pt-BR" sz="11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228601</xdr:colOff>
      <xdr:row>25</xdr:row>
      <xdr:rowOff>47625</xdr:rowOff>
    </xdr:from>
    <xdr:to>
      <xdr:col>15</xdr:col>
      <xdr:colOff>390525</xdr:colOff>
      <xdr:row>26</xdr:row>
      <xdr:rowOff>9524</xdr:rowOff>
    </xdr:to>
    <xdr:sp macro="" textlink="">
      <xdr:nvSpPr>
        <xdr:cNvPr id="42" name="Retângulo de cantos arredondados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28601" y="4581525"/>
          <a:ext cx="9305924" cy="152399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pt-BR" sz="900" b="0" i="1">
              <a:solidFill>
                <a:schemeClr val="tx2">
                  <a:lumMod val="50000"/>
                </a:schemeClr>
              </a:solidFill>
            </a:rPr>
            <a:t>Atualizada em 27/06/2025  (v22)</a:t>
          </a:r>
        </a:p>
      </xdr:txBody>
    </xdr:sp>
    <xdr:clientData/>
  </xdr:twoCellAnchor>
  <xdr:twoCellAnchor>
    <xdr:from>
      <xdr:col>0</xdr:col>
      <xdr:colOff>209550</xdr:colOff>
      <xdr:row>3</xdr:row>
      <xdr:rowOff>9525</xdr:rowOff>
    </xdr:from>
    <xdr:to>
      <xdr:col>20</xdr:col>
      <xdr:colOff>419100</xdr:colOff>
      <xdr:row>24</xdr:row>
      <xdr:rowOff>19050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6042A11-066E-4E97-9491-4FB3236F28B3}"/>
            </a:ext>
          </a:extLst>
        </xdr:cNvPr>
        <xdr:cNvGrpSpPr/>
      </xdr:nvGrpSpPr>
      <xdr:grpSpPr>
        <a:xfrm>
          <a:off x="209550" y="733425"/>
          <a:ext cx="12401550" cy="4010025"/>
          <a:chOff x="209550" y="733425"/>
          <a:chExt cx="12401550" cy="4010025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AD38C69A-38B4-481E-A04B-4A125518CBB3}"/>
              </a:ext>
            </a:extLst>
          </xdr:cNvPr>
          <xdr:cNvGrpSpPr/>
        </xdr:nvGrpSpPr>
        <xdr:grpSpPr>
          <a:xfrm>
            <a:off x="209550" y="733425"/>
            <a:ext cx="12401550" cy="3314700"/>
            <a:chOff x="209550" y="733425"/>
            <a:chExt cx="12401550" cy="3314700"/>
          </a:xfrm>
        </xdr:grpSpPr>
        <xdr:grpSp>
          <xdr:nvGrpSpPr>
            <xdr:cNvPr id="1030" name="Grupo 38">
              <a:extLst>
                <a:ext uri="{FF2B5EF4-FFF2-40B4-BE49-F238E27FC236}">
                  <a16:creationId xmlns:a16="http://schemas.microsoft.com/office/drawing/2014/main" id="{8A8B6C4F-A068-492D-A5C4-1EB7B7A605F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86000" y="733426"/>
              <a:ext cx="2019300" cy="3305174"/>
              <a:chOff x="2124075" y="466725"/>
              <a:chExt cx="2019300" cy="3305175"/>
            </a:xfrm>
          </xdr:grpSpPr>
          <xdr:sp macro="" textlink="">
            <xdr:nvSpPr>
              <xdr:cNvPr id="13" name="Retângulo de cantos arredondados 12">
                <a:hlinkClick xmlns:r="http://schemas.openxmlformats.org/officeDocument/2006/relationships" r:id="rId3" tooltip="Cálculo para o Desenvolvimento de Dobras em Chapas"/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>
              <a:xfrm>
                <a:off x="2133600" y="466724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Desenvolvimento de Chapas</a:t>
                </a:r>
              </a:p>
            </xdr:txBody>
          </xdr:sp>
          <xdr:sp macro="" textlink="">
            <xdr:nvSpPr>
              <xdr:cNvPr id="14" name="Retângulo de cantos arredondados 13">
                <a:hlinkClick xmlns:r="http://schemas.openxmlformats.org/officeDocument/2006/relationships" r:id="rId4" tooltip="Cálculo para Obter o Comprimento Total de Tubos Dobrados"/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>
              <a:xfrm>
                <a:off x="2133600" y="1142999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Desenvolvimento de Tubos</a:t>
                </a:r>
              </a:p>
            </xdr:txBody>
          </xdr:sp>
          <xdr:sp macro="" textlink="">
            <xdr:nvSpPr>
              <xdr:cNvPr id="15" name="Retângulo de cantos arredondados 14">
                <a:hlinkClick xmlns:r="http://schemas.openxmlformats.org/officeDocument/2006/relationships" r:id="rId5" tooltip="Cálculo para Definir o Peso de Barras Quadradas"/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>
              <a:xfrm>
                <a:off x="2124075" y="1819274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Peso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Barra Quadrada</a:t>
                </a:r>
              </a:p>
            </xdr:txBody>
          </xdr:sp>
          <xdr:sp macro="" textlink="">
            <xdr:nvSpPr>
              <xdr:cNvPr id="16" name="Retângulo de cantos arredondados 15">
                <a:hlinkClick xmlns:r="http://schemas.openxmlformats.org/officeDocument/2006/relationships" r:id="rId6" tooltip="Cálculo para Definir o Peso de Barras Redondas"/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>
              <a:xfrm>
                <a:off x="2124075" y="2495550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Peso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Barra Redonda</a:t>
                </a:r>
              </a:p>
            </xdr:txBody>
          </xdr:sp>
          <xdr:sp macro="" textlink="">
            <xdr:nvSpPr>
              <xdr:cNvPr id="17" name="Retângulo de cantos arredondados 16">
                <a:hlinkClick xmlns:r="http://schemas.openxmlformats.org/officeDocument/2006/relationships" r:id="rId7" tooltip="Cálculo para Definir o Peso de Barras Sextavadas"/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>
              <a:xfrm>
                <a:off x="2124075" y="3171825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Peso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Barra Sextavada</a:t>
                </a:r>
              </a:p>
            </xdr:txBody>
          </xdr:sp>
        </xdr:grpSp>
        <xdr:sp macro="" textlink="">
          <xdr:nvSpPr>
            <xdr:cNvPr id="18" name="Retângulo de cantos arredondados 17">
              <a:hlinkClick xmlns:r="http://schemas.openxmlformats.org/officeDocument/2006/relationships" r:id="rId8" tooltip="Cálculo do Peso de Cantoneiras Conforme Dimensões"/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 bwMode="auto">
            <a:xfrm>
              <a:off x="4371975" y="733425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Cantoneira</a:t>
              </a:r>
            </a:p>
          </xdr:txBody>
        </xdr:sp>
        <xdr:sp macro="" textlink="">
          <xdr:nvSpPr>
            <xdr:cNvPr id="19" name="Retângulo de cantos arredondados 18">
              <a:hlinkClick xmlns:r="http://schemas.openxmlformats.org/officeDocument/2006/relationships" r:id="rId9" tooltip="Cálculo do Peso de Chapas Circulares"/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 bwMode="auto">
            <a:xfrm>
              <a:off x="4371975" y="140970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Chapa Circular</a:t>
              </a:r>
            </a:p>
          </xdr:txBody>
        </xdr:sp>
        <xdr:sp macro="" textlink="">
          <xdr:nvSpPr>
            <xdr:cNvPr id="20" name="Retângulo de cantos arredondados 19">
              <a:hlinkClick xmlns:r="http://schemas.openxmlformats.org/officeDocument/2006/relationships" r:id="rId10" tooltip="Cálculo do Peso de Chapas Plásticas"/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 bwMode="auto">
            <a:xfrm>
              <a:off x="4362450" y="2085975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Chapa Plástica</a:t>
              </a:r>
            </a:p>
          </xdr:txBody>
        </xdr:sp>
        <xdr:sp macro="" textlink="">
          <xdr:nvSpPr>
            <xdr:cNvPr id="21" name="Retângulo de cantos arredondados 20">
              <a:hlinkClick xmlns:r="http://schemas.openxmlformats.org/officeDocument/2006/relationships" r:id="rId11" tooltip="Cálculo do Peso para Perfis I"/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 bwMode="auto">
            <a:xfrm>
              <a:off x="4362450" y="3438525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Perfil I</a:t>
              </a:r>
            </a:p>
          </xdr:txBody>
        </xdr:sp>
        <xdr:sp macro="" textlink="">
          <xdr:nvSpPr>
            <xdr:cNvPr id="22" name="Retângulo de cantos arredondados 21">
              <a:hlinkClick xmlns:r="http://schemas.openxmlformats.org/officeDocument/2006/relationships" r:id="rId12" tooltip="Cálculo de Peso para Perfil T"/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 bwMode="auto">
            <a:xfrm>
              <a:off x="6448425" y="733425"/>
              <a:ext cx="990600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Perfil T</a:t>
              </a:r>
            </a:p>
          </xdr:txBody>
        </xdr:sp>
        <xdr:sp macro="" textlink="">
          <xdr:nvSpPr>
            <xdr:cNvPr id="23" name="Retângulo de cantos arredondados 22">
              <a:hlinkClick xmlns:r="http://schemas.openxmlformats.org/officeDocument/2006/relationships" r:id="rId13" tooltip="Cálculo do Peso de Perfis U"/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 bwMode="auto">
            <a:xfrm>
              <a:off x="7477125" y="733425"/>
              <a:ext cx="9810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Perfil U</a:t>
              </a:r>
            </a:p>
          </xdr:txBody>
        </xdr:sp>
        <xdr:sp macro="" textlink="">
          <xdr:nvSpPr>
            <xdr:cNvPr id="24" name="Retângulo de cantos arredondados 23">
              <a:hlinkClick xmlns:r="http://schemas.openxmlformats.org/officeDocument/2006/relationships" r:id="rId14" tooltip="Cálculo do Peso de Plástico Bolha Utilizado para Embalar Peças Planas"/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 bwMode="auto">
            <a:xfrm>
              <a:off x="6448425" y="140970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Plástico Bolha</a:t>
              </a:r>
            </a:p>
          </xdr:txBody>
        </xdr:sp>
        <xdr:sp macro="" textlink="">
          <xdr:nvSpPr>
            <xdr:cNvPr id="25" name="Retângulo de cantos arredondados 24">
              <a:hlinkClick xmlns:r="http://schemas.openxmlformats.org/officeDocument/2006/relationships" r:id="rId15" tooltip="Cálculo do Peso e Sobra de Tubos e Peso para Cadastro no EMS"/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 bwMode="auto">
            <a:xfrm>
              <a:off x="6438900" y="2085975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Sobra de Tubos</a:t>
              </a:r>
            </a:p>
          </xdr:txBody>
        </xdr:sp>
        <xdr:sp macro="" textlink="">
          <xdr:nvSpPr>
            <xdr:cNvPr id="26" name="Retângulo de cantos arredondados 25">
              <a:hlinkClick xmlns:r="http://schemas.openxmlformats.org/officeDocument/2006/relationships" r:id="rId16" tooltip="Cálculo do Peso de Tubos Quadrados"/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6438900" y="276225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Tubo Quadrado</a:t>
              </a:r>
            </a:p>
          </xdr:txBody>
        </xdr:sp>
        <xdr:sp macro="" textlink="">
          <xdr:nvSpPr>
            <xdr:cNvPr id="27" name="Retângulo de cantos arredondados 26">
              <a:hlinkClick xmlns:r="http://schemas.openxmlformats.org/officeDocument/2006/relationships" r:id="rId17" tooltip="Cálculo do Peso de Tubos Redondos"/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6438900" y="344805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Tubo Redondo</a:t>
              </a:r>
            </a:p>
          </xdr:txBody>
        </xdr:sp>
        <xdr:grpSp>
          <xdr:nvGrpSpPr>
            <xdr:cNvPr id="1041" name="Grupo 42">
              <a:extLst>
                <a:ext uri="{FF2B5EF4-FFF2-40B4-BE49-F238E27FC236}">
                  <a16:creationId xmlns:a16="http://schemas.microsoft.com/office/drawing/2014/main" id="{EF7927F8-C29F-4668-BEDD-12FE1D955D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515350" y="733426"/>
              <a:ext cx="2019300" cy="3314699"/>
              <a:chOff x="8210550" y="447675"/>
              <a:chExt cx="2019300" cy="3314700"/>
            </a:xfrm>
          </xdr:grpSpPr>
          <xdr:sp macro="" textlink="">
            <xdr:nvSpPr>
              <xdr:cNvPr id="28" name="Retângulo de cantos arredondados 27">
                <a:hlinkClick xmlns:r="http://schemas.openxmlformats.org/officeDocument/2006/relationships" r:id="rId18" tooltip="Cálculo do Peso de Tubos Retangulares"/>
                <a:extLst>
                  <a:ext uri="{FF2B5EF4-FFF2-40B4-BE49-F238E27FC236}">
                    <a16:creationId xmlns:a16="http://schemas.microsoft.com/office/drawing/2014/main" id="{00000000-0008-0000-0000-00001C000000}"/>
                  </a:ext>
                </a:extLst>
              </xdr:cNvPr>
              <xdr:cNvSpPr/>
            </xdr:nvSpPr>
            <xdr:spPr>
              <a:xfrm>
                <a:off x="8220075" y="447674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Peso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Tubo Retangular</a:t>
                </a:r>
              </a:p>
            </xdr:txBody>
          </xdr:sp>
          <xdr:sp macro="" textlink="">
            <xdr:nvSpPr>
              <xdr:cNvPr id="29" name="Retângulo de cantos arredondados 28">
                <a:hlinkClick xmlns:r="http://schemas.openxmlformats.org/officeDocument/2006/relationships" r:id="rId19" tooltip="Informação do Custo de Mão de Obra para Plásticos na Termoformagem"/>
                <a:extLst>
                  <a:ext uri="{FF2B5EF4-FFF2-40B4-BE49-F238E27FC236}">
                    <a16:creationId xmlns:a16="http://schemas.microsoft.com/office/drawing/2014/main" id="{00000000-0008-0000-0000-00001D000000}"/>
                  </a:ext>
                </a:extLst>
              </xdr:cNvPr>
              <xdr:cNvSpPr/>
            </xdr:nvSpPr>
            <xdr:spPr>
              <a:xfrm>
                <a:off x="8220075" y="1123949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Plásticos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Custo de M.O.</a:t>
                </a:r>
              </a:p>
            </xdr:txBody>
          </xdr:sp>
          <xdr:sp macro="" textlink="">
            <xdr:nvSpPr>
              <xdr:cNvPr id="30" name="Retângulo de cantos arredondados 29">
                <a:hlinkClick xmlns:r="http://schemas.openxmlformats.org/officeDocument/2006/relationships" r:id="rId20" tooltip="Quantidade de Tinta Necessária na Pintura a Pistola"/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8210550" y="1800224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Quantidade Tinta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Pintura a Pistola</a:t>
                </a:r>
              </a:p>
            </xdr:txBody>
          </xdr:sp>
          <xdr:sp macro="" textlink="">
            <xdr:nvSpPr>
              <xdr:cNvPr id="31" name="Retângulo de cantos arredondados 30">
                <a:hlinkClick xmlns:r="http://schemas.openxmlformats.org/officeDocument/2006/relationships" r:id="rId21" tooltip="Quantidade de Tinta (Pó) Necessária na Pintura a Pó"/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SpPr/>
            </xdr:nvSpPr>
            <xdr:spPr>
              <a:xfrm>
                <a:off x="8210550" y="2476500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Quantidade Tinta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Pintura a Pó</a:t>
                </a:r>
              </a:p>
            </xdr:txBody>
          </xdr:sp>
          <xdr:sp macro="" textlink="">
            <xdr:nvSpPr>
              <xdr:cNvPr id="32" name="Retângulo de cantos arredondados 31">
                <a:hlinkClick xmlns:r="http://schemas.openxmlformats.org/officeDocument/2006/relationships" r:id="rId22" tooltip="Quantidade de Tinta Necessária para Pintura por Imersão no Túnel de Pintura"/>
                <a:extLs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>
              <a:xfrm>
                <a:off x="8210550" y="3162300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Quantidade Tinta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Túnel Pintura</a:t>
                </a:r>
              </a:p>
            </xdr:txBody>
          </xdr:sp>
        </xdr:grpSp>
        <xdr:sp macro="" textlink="">
          <xdr:nvSpPr>
            <xdr:cNvPr id="34" name="Retângulo de cantos arredondados 33">
              <a:hlinkClick xmlns:r="http://schemas.openxmlformats.org/officeDocument/2006/relationships" r:id="rId23" tooltip="Cálculo de Tempo para Uso no EMS e Suas Conversões"/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 bwMode="auto">
            <a:xfrm>
              <a:off x="10601325" y="733425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Tempo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EMS Conversão</a:t>
              </a:r>
            </a:p>
          </xdr:txBody>
        </xdr:sp>
        <xdr:sp macro="" textlink="">
          <xdr:nvSpPr>
            <xdr:cNvPr id="35" name="Retângulo de cantos arredondados 34">
              <a:hlinkClick xmlns:r="http://schemas.openxmlformats.org/officeDocument/2006/relationships" r:id="rId24" tooltip="Tempo Necessário para Pintura a Pistola"/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10601325" y="140970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Tempo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Pintura a Pistola</a:t>
              </a:r>
            </a:p>
          </xdr:txBody>
        </xdr:sp>
        <xdr:sp macro="" textlink="">
          <xdr:nvSpPr>
            <xdr:cNvPr id="36" name="Retângulo de cantos arredondados 35">
              <a:hlinkClick xmlns:r="http://schemas.openxmlformats.org/officeDocument/2006/relationships" r:id="rId25" tooltip="Tempo Necessário para Pintura por Imersão no Túnel de Pintura"/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10591800" y="209550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Tempo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Túnel de Pintura</a:t>
              </a:r>
            </a:p>
          </xdr:txBody>
        </xdr:sp>
        <xdr:sp macro="" textlink="">
          <xdr:nvSpPr>
            <xdr:cNvPr id="37" name="Retângulo de cantos arredondados 36">
              <a:hlinkClick xmlns:r="http://schemas.openxmlformats.org/officeDocument/2006/relationships" r:id="rId26" tooltip="Cálculo do Volume de Recipientes Cúbicos"/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10591800" y="2771775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Volume de Recipientes</a:t>
              </a:r>
            </a:p>
          </xdr:txBody>
        </xdr:sp>
        <xdr:sp macro="" textlink="">
          <xdr:nvSpPr>
            <xdr:cNvPr id="38" name="Retângulo de cantos arredondados 37" descr="Fator K">
              <a:hlinkClick xmlns:r="http://schemas.openxmlformats.org/officeDocument/2006/relationships" r:id="rId27" tooltip="Botões do Menu e Versões"/>
              <a:extLs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/>
          </xdr:nvSpPr>
          <xdr:spPr bwMode="auto">
            <a:xfrm>
              <a:off x="10591800" y="344805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Fator K</a:t>
              </a:r>
            </a:p>
          </xdr:txBody>
        </xdr:sp>
        <xdr:grpSp>
          <xdr:nvGrpSpPr>
            <xdr:cNvPr id="1043" name="Grupo 32">
              <a:extLst>
                <a:ext uri="{FF2B5EF4-FFF2-40B4-BE49-F238E27FC236}">
                  <a16:creationId xmlns:a16="http://schemas.microsoft.com/office/drawing/2014/main" id="{92D837DB-667A-43F8-B5C5-C6C6CD5B3E9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09550" y="733425"/>
              <a:ext cx="2019300" cy="3305175"/>
              <a:chOff x="95250" y="466724"/>
              <a:chExt cx="2019300" cy="3305176"/>
            </a:xfrm>
          </xdr:grpSpPr>
          <xdr:sp macro="" textlink="">
            <xdr:nvSpPr>
              <xdr:cNvPr id="2" name="Retângulo de cantos arredondados 1">
                <a:hlinkClick xmlns:r="http://schemas.openxmlformats.org/officeDocument/2006/relationships" r:id="rId28" tooltip="Cálculo do Aproveitamento de Chapas"/>
                <a:extLs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>
              <a:xfrm>
                <a:off x="104775" y="466724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Aproveitamento Chapas e Guilhotina</a:t>
                </a:r>
              </a:p>
            </xdr:txBody>
          </xdr:sp>
          <xdr:sp macro="" textlink="">
            <xdr:nvSpPr>
              <xdr:cNvPr id="9" name="Retângulo de cantos arredondados 8">
                <a:hlinkClick xmlns:r="http://schemas.openxmlformats.org/officeDocument/2006/relationships" r:id="rId29" tooltip="Conversão de mm para polegadas ou polegadas para mm"/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95250" y="1819274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Conversão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mm x in &lt;&gt; in x mm</a:t>
                </a:r>
              </a:p>
            </xdr:txBody>
          </xdr:sp>
          <xdr:sp macro="" textlink="">
            <xdr:nvSpPr>
              <xdr:cNvPr id="10" name="Retângulo de cantos arredondados 9">
                <a:hlinkClick xmlns:r="http://schemas.openxmlformats.org/officeDocument/2006/relationships" r:id="rId30" tooltip="Conversão de Diâmetro para Perímetro ou Perímetro para Diâmetro"/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104775" y="1142999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Conversão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Diâmetro x Perímetro</a:t>
                </a:r>
              </a:p>
            </xdr:txBody>
          </xdr:sp>
          <xdr:sp macro="" textlink="">
            <xdr:nvSpPr>
              <xdr:cNvPr id="11" name="Retângulo de cantos arredondados 10">
                <a:hlinkClick xmlns:r="http://schemas.openxmlformats.org/officeDocument/2006/relationships" r:id="rId31" tooltip="Cálculo de Corte para Laser em 2D"/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95250" y="2495550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Corte Laser 2D</a:t>
                </a:r>
              </a:p>
            </xdr:txBody>
          </xdr:sp>
          <xdr:sp macro="" textlink="">
            <xdr:nvSpPr>
              <xdr:cNvPr id="12" name="Retângulo de cantos arredondados 11">
                <a:hlinkClick xmlns:r="http://schemas.openxmlformats.org/officeDocument/2006/relationships" r:id="rId32" tooltip="Cálculo para Definir qual a Capacidade de Prensagem Necessária"/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>
              <a:xfrm>
                <a:off x="95250" y="3171825"/>
                <a:ext cx="2009775" cy="600075"/>
              </a:xfrm>
              <a:prstGeom prst="roundRect">
                <a:avLst/>
              </a:prstGeom>
              <a:solidFill>
                <a:schemeClr val="accent1">
                  <a:lumMod val="75000"/>
                </a:schemeClr>
              </a:solidFill>
            </xdr:spPr>
            <xdr:style>
              <a:lnRef idx="0">
                <a:schemeClr val="accent1"/>
              </a:lnRef>
              <a:fillRef idx="3">
                <a:schemeClr val="accent1"/>
              </a:fillRef>
              <a:effectRef idx="3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Definir Prensas</a:t>
                </a:r>
              </a:p>
              <a:p>
                <a:pPr marL="0" indent="0" algn="ctr"/>
                <a:r>
                  <a:rPr lang="pt-BR" sz="1400" b="1" cap="none" spc="0">
                    <a:ln w="6600">
                      <a:noFill/>
                      <a:prstDash val="solid"/>
                    </a:ln>
                    <a:solidFill>
                      <a:schemeClr val="bg1"/>
                    </a:solidFill>
                    <a:effectLst/>
                    <a:latin typeface="Amasis MT Pro Black" panose="02040A04050005020304" pitchFamily="18" charset="0"/>
                    <a:ea typeface="+mn-ea"/>
                    <a:cs typeface="Aldhabi" panose="020F0502020204030204" pitchFamily="2" charset="-78"/>
                  </a:rPr>
                  <a:t>Tonelagem Necessária</a:t>
                </a:r>
              </a:p>
            </xdr:txBody>
          </xdr:sp>
        </xdr:grpSp>
        <xdr:sp macro="" textlink="">
          <xdr:nvSpPr>
            <xdr:cNvPr id="44" name="Retângulo de cantos arredondados 43">
              <a:hlinkClick xmlns:r="http://schemas.openxmlformats.org/officeDocument/2006/relationships" r:id="rId33" tooltip="Cálculo de Peso para Perfil T"/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 bwMode="auto">
            <a:xfrm>
              <a:off x="4362450" y="2762250"/>
              <a:ext cx="2009775" cy="600075"/>
            </a:xfrm>
            <a:prstGeom prst="roundRect">
              <a:avLst/>
            </a:prstGeom>
            <a:solidFill>
              <a:schemeClr val="accent1">
                <a:lumMod val="75000"/>
              </a:schemeClr>
            </a:solidFill>
          </xdr:spPr>
          <xdr:style>
            <a:lnRef idx="0">
              <a:schemeClr val="accent1"/>
            </a:lnRef>
            <a:fillRef idx="3">
              <a:schemeClr val="accent1"/>
            </a:fillRef>
            <a:effectRef idx="3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Peso</a:t>
              </a:r>
            </a:p>
            <a:p>
              <a:pPr marL="0" indent="0" algn="ctr"/>
              <a:r>
                <a:rPr lang="pt-BR" sz="1400" b="1" cap="none" spc="0">
                  <a:ln w="6600">
                    <a:noFill/>
                    <a:prstDash val="solid"/>
                  </a:ln>
                  <a:solidFill>
                    <a:schemeClr val="bg1"/>
                  </a:solidFill>
                  <a:effectLst/>
                  <a:latin typeface="Amasis MT Pro Black" panose="02040A04050005020304" pitchFamily="18" charset="0"/>
                  <a:ea typeface="+mn-ea"/>
                  <a:cs typeface="Aldhabi" panose="020F0502020204030204" pitchFamily="2" charset="-78"/>
                </a:rPr>
                <a:t>Ferro Chato</a:t>
              </a:r>
            </a:p>
          </xdr:txBody>
        </xdr:sp>
      </xdr:grpSp>
      <xdr:sp macro="" textlink="">
        <xdr:nvSpPr>
          <xdr:cNvPr id="43" name="Retângulo de cantos arredondados 37" descr="Fator K">
            <a:hlinkClick xmlns:r="http://schemas.openxmlformats.org/officeDocument/2006/relationships" r:id="rId34" tooltip="Botões do Menu e Versões"/>
            <a:extLst>
              <a:ext uri="{FF2B5EF4-FFF2-40B4-BE49-F238E27FC236}">
                <a16:creationId xmlns:a16="http://schemas.microsoft.com/office/drawing/2014/main" id="{985EDDCA-63D2-4C2A-A029-2303D34D7E42}"/>
              </a:ext>
            </a:extLst>
          </xdr:cNvPr>
          <xdr:cNvSpPr/>
        </xdr:nvSpPr>
        <xdr:spPr bwMode="auto">
          <a:xfrm>
            <a:off x="209550" y="4143375"/>
            <a:ext cx="2009775" cy="600075"/>
          </a:xfrm>
          <a:prstGeom prst="roundRect">
            <a:avLst/>
          </a:prstGeom>
          <a:solidFill>
            <a:schemeClr val="accent1">
              <a:lumMod val="75000"/>
            </a:schemeClr>
          </a:solidFill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marL="0" indent="0" algn="ctr"/>
            <a:r>
              <a:rPr lang="pt-BR" sz="1400" b="1" cap="none" spc="0">
                <a:ln w="6600">
                  <a:noFill/>
                  <a:prstDash val="solid"/>
                </a:ln>
                <a:solidFill>
                  <a:schemeClr val="bg1"/>
                </a:solidFill>
                <a:effectLst/>
                <a:latin typeface="Amasis MT Pro Black" panose="02040A04050005020304" pitchFamily="18" charset="0"/>
                <a:ea typeface="+mn-ea"/>
                <a:cs typeface="Aldhabi" panose="020F0502020204030204" pitchFamily="2" charset="-78"/>
              </a:rPr>
              <a:t>Aproveitamento Sliter</a:t>
            </a:r>
          </a:p>
        </xdr:txBody>
      </xdr:sp>
    </xdr:grpSp>
    <xdr:clientData/>
  </xdr:twoCellAnchor>
  <xdr:twoCellAnchor>
    <xdr:from>
      <xdr:col>3</xdr:col>
      <xdr:colOff>447675</xdr:colOff>
      <xdr:row>20</xdr:row>
      <xdr:rowOff>180975</xdr:rowOff>
    </xdr:from>
    <xdr:to>
      <xdr:col>7</xdr:col>
      <xdr:colOff>19050</xdr:colOff>
      <xdr:row>24</xdr:row>
      <xdr:rowOff>19050</xdr:rowOff>
    </xdr:to>
    <xdr:sp macro="" textlink="">
      <xdr:nvSpPr>
        <xdr:cNvPr id="3" name="Retângulo de cantos arredondados 10">
          <a:hlinkClick xmlns:r="http://schemas.openxmlformats.org/officeDocument/2006/relationships" r:id="rId35" tooltip="Cálculo de Corte para Laser em 2D"/>
          <a:extLst>
            <a:ext uri="{FF2B5EF4-FFF2-40B4-BE49-F238E27FC236}">
              <a16:creationId xmlns:a16="http://schemas.microsoft.com/office/drawing/2014/main" id="{53A08BC5-C568-404A-A880-25525C8D1C5B}"/>
            </a:ext>
          </a:extLst>
        </xdr:cNvPr>
        <xdr:cNvSpPr/>
      </xdr:nvSpPr>
      <xdr:spPr bwMode="auto">
        <a:xfrm>
          <a:off x="2276475" y="4143375"/>
          <a:ext cx="2009775" cy="60007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pt-BR" sz="1400" b="1" cap="none" spc="0">
              <a:ln w="6600">
                <a:noFill/>
                <a:prstDash val="solid"/>
              </a:ln>
              <a:solidFill>
                <a:schemeClr val="bg1"/>
              </a:solidFill>
              <a:effectLst/>
              <a:latin typeface="Amasis MT Pro Black" panose="02040A04050005020304" pitchFamily="18" charset="0"/>
              <a:ea typeface="+mn-ea"/>
              <a:cs typeface="Aldhabi" panose="020F0502020204030204" pitchFamily="2" charset="-78"/>
            </a:rPr>
            <a:t>Corte Laser 3D</a:t>
          </a:r>
        </a:p>
      </xdr:txBody>
    </xdr:sp>
    <xdr:clientData/>
  </xdr:twoCellAnchor>
  <xdr:twoCellAnchor>
    <xdr:from>
      <xdr:col>7</xdr:col>
      <xdr:colOff>85725</xdr:colOff>
      <xdr:row>21</xdr:row>
      <xdr:rowOff>0</xdr:rowOff>
    </xdr:from>
    <xdr:to>
      <xdr:col>10</xdr:col>
      <xdr:colOff>266700</xdr:colOff>
      <xdr:row>24</xdr:row>
      <xdr:rowOff>28575</xdr:rowOff>
    </xdr:to>
    <xdr:sp macro="" textlink="">
      <xdr:nvSpPr>
        <xdr:cNvPr id="6" name="Retângulo de cantos arredondados 10">
          <a:hlinkClick xmlns:r="http://schemas.openxmlformats.org/officeDocument/2006/relationships" r:id="rId36" tooltip="Cálculo de Corte para Laser em 2D"/>
          <a:extLst>
            <a:ext uri="{FF2B5EF4-FFF2-40B4-BE49-F238E27FC236}">
              <a16:creationId xmlns:a16="http://schemas.microsoft.com/office/drawing/2014/main" id="{131BA89A-C0BC-468E-B580-48BFB4117DF8}"/>
            </a:ext>
          </a:extLst>
        </xdr:cNvPr>
        <xdr:cNvSpPr/>
      </xdr:nvSpPr>
      <xdr:spPr bwMode="auto">
        <a:xfrm>
          <a:off x="4352925" y="4152900"/>
          <a:ext cx="2009775" cy="60007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 cap="none" spc="0">
              <a:ln w="6600">
                <a:noFill/>
                <a:prstDash val="solid"/>
              </a:ln>
              <a:solidFill>
                <a:schemeClr val="bg1"/>
              </a:solidFill>
              <a:effectLst/>
              <a:latin typeface="Amasis MT Pro Black" panose="02040A04050005020304" pitchFamily="18" charset="0"/>
              <a:cs typeface="Aldhabi" panose="020F0502020204030204" pitchFamily="2" charset="-78"/>
            </a:rPr>
            <a:t>Corte Laser</a:t>
          </a:r>
          <a:r>
            <a:rPr lang="pt-BR" sz="1400" b="1" cap="none" spc="0" baseline="0">
              <a:ln w="6600">
                <a:noFill/>
                <a:prstDash val="solid"/>
              </a:ln>
              <a:solidFill>
                <a:schemeClr val="bg1"/>
              </a:solidFill>
              <a:effectLst/>
              <a:latin typeface="Amasis MT Pro Black" panose="02040A04050005020304" pitchFamily="18" charset="0"/>
              <a:cs typeface="Aldhabi" panose="020F0502020204030204" pitchFamily="2" charset="-78"/>
            </a:rPr>
            <a:t> 2D - </a:t>
          </a:r>
          <a:r>
            <a:rPr lang="pt-BR" sz="1400" b="1" cap="none" spc="0" baseline="0">
              <a:ln w="6600">
                <a:noFill/>
                <a:prstDash val="solid"/>
              </a:ln>
              <a:solidFill>
                <a:schemeClr val="bg1"/>
              </a:solidFill>
              <a:effectLst/>
              <a:latin typeface="Amasis MT Pro Black" panose="02040A04050005020304" pitchFamily="18" charset="0"/>
            </a:rPr>
            <a:t>12kW</a:t>
          </a:r>
          <a:endParaRPr lang="pt-BR" sz="1400" b="1" cap="none" spc="0">
            <a:ln w="6600">
              <a:noFill/>
              <a:prstDash val="solid"/>
            </a:ln>
            <a:solidFill>
              <a:schemeClr val="bg1"/>
            </a:solidFill>
            <a:effectLst/>
            <a:latin typeface="Amasis MT Pro Black" panose="02040A040500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</xdr:row>
      <xdr:rowOff>114300</xdr:rowOff>
    </xdr:from>
    <xdr:to>
      <xdr:col>3</xdr:col>
      <xdr:colOff>409575</xdr:colOff>
      <xdr:row>7</xdr:row>
      <xdr:rowOff>171450</xdr:rowOff>
    </xdr:to>
    <xdr:sp macro="" textlink="">
      <xdr:nvSpPr>
        <xdr:cNvPr id="2" name="Forma em 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257300" y="685800"/>
          <a:ext cx="981075" cy="819150"/>
        </a:xfrm>
        <a:prstGeom prst="corne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2</xdr:col>
      <xdr:colOff>238128</xdr:colOff>
      <xdr:row>2</xdr:row>
      <xdr:rowOff>172244</xdr:rowOff>
    </xdr:from>
    <xdr:to>
      <xdr:col>2</xdr:col>
      <xdr:colOff>248443</xdr:colOff>
      <xdr:row>6</xdr:row>
      <xdr:rowOff>133354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rot="5400000">
          <a:off x="1100931" y="909641"/>
          <a:ext cx="723110" cy="10315"/>
        </a:xfrm>
        <a:prstGeom prst="line">
          <a:avLst/>
        </a:prstGeom>
        <a:ln w="12700">
          <a:prstDash val="dashDot"/>
          <a:bevel/>
        </a:ln>
        <a:scene3d>
          <a:camera prst="orthographicFront">
            <a:rot lat="5400000" lon="0" rev="0"/>
          </a:camera>
          <a:lightRig rig="threePt" dir="t"/>
        </a:scene3d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6</xdr:row>
      <xdr:rowOff>123823</xdr:rowOff>
    </xdr:from>
    <xdr:to>
      <xdr:col>3</xdr:col>
      <xdr:colOff>495303</xdr:colOff>
      <xdr:row>6</xdr:row>
      <xdr:rowOff>123824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rot="10800000" flipV="1">
          <a:off x="1409701" y="1266823"/>
          <a:ext cx="914402" cy="1"/>
        </a:xfrm>
        <a:prstGeom prst="line">
          <a:avLst/>
        </a:prstGeom>
        <a:ln w="12700"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285752</xdr:colOff>
      <xdr:row>2</xdr:row>
      <xdr:rowOff>171450</xdr:rowOff>
    </xdr:from>
    <xdr:to>
      <xdr:col>2</xdr:col>
      <xdr:colOff>295276</xdr:colOff>
      <xdr:row>6</xdr:row>
      <xdr:rowOff>133352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rot="16200000" flipH="1">
          <a:off x="1147763" y="909639"/>
          <a:ext cx="723902" cy="9524"/>
        </a:xfrm>
        <a:prstGeom prst="line">
          <a:avLst/>
        </a:prstGeom>
        <a:ln w="12700"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247654</xdr:colOff>
      <xdr:row>3</xdr:row>
      <xdr:rowOff>123824</xdr:rowOff>
    </xdr:from>
    <xdr:to>
      <xdr:col>3</xdr:col>
      <xdr:colOff>85725</xdr:colOff>
      <xdr:row>6</xdr:row>
      <xdr:rowOff>133348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rot="10800000" flipV="1">
          <a:off x="1466854" y="695324"/>
          <a:ext cx="447671" cy="581024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15</xdr:row>
      <xdr:rowOff>114300</xdr:rowOff>
    </xdr:from>
    <xdr:to>
      <xdr:col>3</xdr:col>
      <xdr:colOff>409575</xdr:colOff>
      <xdr:row>19</xdr:row>
      <xdr:rowOff>171450</xdr:rowOff>
    </xdr:to>
    <xdr:sp macro="" textlink="">
      <xdr:nvSpPr>
        <xdr:cNvPr id="7" name="Forma em 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57300" y="2971800"/>
          <a:ext cx="981075" cy="819150"/>
        </a:xfrm>
        <a:prstGeom prst="corner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2</xdr:col>
      <xdr:colOff>238128</xdr:colOff>
      <xdr:row>14</xdr:row>
      <xdr:rowOff>172244</xdr:rowOff>
    </xdr:from>
    <xdr:to>
      <xdr:col>2</xdr:col>
      <xdr:colOff>248443</xdr:colOff>
      <xdr:row>18</xdr:row>
      <xdr:rowOff>133354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rot="5400000">
          <a:off x="1100931" y="3195641"/>
          <a:ext cx="723110" cy="10315"/>
        </a:xfrm>
        <a:prstGeom prst="line">
          <a:avLst/>
        </a:prstGeom>
        <a:ln w="12700">
          <a:prstDash val="dashDot"/>
          <a:bevel/>
        </a:ln>
        <a:scene3d>
          <a:camera prst="orthographicFront">
            <a:rot lat="5400000" lon="0" rev="0"/>
          </a:camera>
          <a:lightRig rig="threePt" dir="t"/>
        </a:scene3d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190501</xdr:colOff>
      <xdr:row>18</xdr:row>
      <xdr:rowOff>123823</xdr:rowOff>
    </xdr:from>
    <xdr:to>
      <xdr:col>3</xdr:col>
      <xdr:colOff>495303</xdr:colOff>
      <xdr:row>18</xdr:row>
      <xdr:rowOff>123824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rot="10800000" flipV="1">
          <a:off x="1409701" y="3552823"/>
          <a:ext cx="914402" cy="1"/>
        </a:xfrm>
        <a:prstGeom prst="line">
          <a:avLst/>
        </a:prstGeom>
        <a:ln w="12700"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285752</xdr:colOff>
      <xdr:row>14</xdr:row>
      <xdr:rowOff>171450</xdr:rowOff>
    </xdr:from>
    <xdr:to>
      <xdr:col>2</xdr:col>
      <xdr:colOff>295276</xdr:colOff>
      <xdr:row>18</xdr:row>
      <xdr:rowOff>133352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rot="16200000" flipH="1">
          <a:off x="1147763" y="3195639"/>
          <a:ext cx="723902" cy="9524"/>
        </a:xfrm>
        <a:prstGeom prst="line">
          <a:avLst/>
        </a:prstGeom>
        <a:ln w="12700">
          <a:prstDash val="dash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466726</xdr:colOff>
      <xdr:row>15</xdr:row>
      <xdr:rowOff>85725</xdr:rowOff>
    </xdr:from>
    <xdr:to>
      <xdr:col>3</xdr:col>
      <xdr:colOff>85726</xdr:colOff>
      <xdr:row>17</xdr:row>
      <xdr:rowOff>104775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rot="10800000" flipV="1">
          <a:off x="1685926" y="2943225"/>
          <a:ext cx="228600" cy="400050"/>
        </a:xfrm>
        <a:prstGeom prst="straightConnector1">
          <a:avLst/>
        </a:prstGeom>
        <a:ln>
          <a:tailEnd type="arrow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5</xdr:row>
      <xdr:rowOff>57150</xdr:rowOff>
    </xdr:from>
    <xdr:to>
      <xdr:col>3</xdr:col>
      <xdr:colOff>1133475</xdr:colOff>
      <xdr:row>7</xdr:row>
      <xdr:rowOff>180975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428875" y="1009650"/>
          <a:ext cx="9525" cy="50482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628650</xdr:colOff>
      <xdr:row>17</xdr:row>
      <xdr:rowOff>76200</xdr:rowOff>
    </xdr:from>
    <xdr:to>
      <xdr:col>3</xdr:col>
      <xdr:colOff>1162050</xdr:colOff>
      <xdr:row>20</xdr:row>
      <xdr:rowOff>9525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438400" y="3314700"/>
          <a:ext cx="0" cy="504825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10</xdr:col>
      <xdr:colOff>95250</xdr:colOff>
      <xdr:row>19</xdr:row>
      <xdr:rowOff>133350</xdr:rowOff>
    </xdr:from>
    <xdr:to>
      <xdr:col>12</xdr:col>
      <xdr:colOff>85725</xdr:colOff>
      <xdr:row>21</xdr:row>
      <xdr:rowOff>189732</xdr:rowOff>
    </xdr:to>
    <xdr:pic>
      <xdr:nvPicPr>
        <xdr:cNvPr id="16" name="Imagem 15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875" y="43053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933450</xdr:colOff>
      <xdr:row>6</xdr:row>
      <xdr:rowOff>152400</xdr:rowOff>
    </xdr:from>
    <xdr:to>
      <xdr:col>15</xdr:col>
      <xdr:colOff>276225</xdr:colOff>
      <xdr:row>12</xdr:row>
      <xdr:rowOff>47625</xdr:rowOff>
    </xdr:to>
    <xdr:pic>
      <xdr:nvPicPr>
        <xdr:cNvPr id="3073" name="Picture 25">
          <a:extLst>
            <a:ext uri="{FF2B5EF4-FFF2-40B4-BE49-F238E27FC236}">
              <a16:creationId xmlns:a16="http://schemas.microsoft.com/office/drawing/2014/main" id="{C1B4D17A-CF3D-47CA-9E79-750EE4290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295400"/>
          <a:ext cx="942975" cy="10382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95250</xdr:colOff>
      <xdr:row>8</xdr:row>
      <xdr:rowOff>152400</xdr:rowOff>
    </xdr:from>
    <xdr:to>
      <xdr:col>39</xdr:col>
      <xdr:colOff>0</xdr:colOff>
      <xdr:row>11</xdr:row>
      <xdr:rowOff>18282</xdr:rowOff>
    </xdr:to>
    <xdr:pic>
      <xdr:nvPicPr>
        <xdr:cNvPr id="4" name="Imagem 3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172325" y="16764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7</xdr:row>
      <xdr:rowOff>0</xdr:rowOff>
    </xdr:from>
    <xdr:to>
      <xdr:col>15</xdr:col>
      <xdr:colOff>495300</xdr:colOff>
      <xdr:row>12</xdr:row>
      <xdr:rowOff>95250</xdr:rowOff>
    </xdr:to>
    <xdr:pic>
      <xdr:nvPicPr>
        <xdr:cNvPr id="4097" name="Picture 19">
          <a:extLst>
            <a:ext uri="{FF2B5EF4-FFF2-40B4-BE49-F238E27FC236}">
              <a16:creationId xmlns:a16="http://schemas.microsoft.com/office/drawing/2014/main" id="{011F418A-0B21-41F4-86A9-8AA2DF28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0" y="1333500"/>
          <a:ext cx="1085850" cy="104775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38100</xdr:colOff>
      <xdr:row>9</xdr:row>
      <xdr:rowOff>28575</xdr:rowOff>
    </xdr:from>
    <xdr:to>
      <xdr:col>35</xdr:col>
      <xdr:colOff>57150</xdr:colOff>
      <xdr:row>11</xdr:row>
      <xdr:rowOff>84957</xdr:rowOff>
    </xdr:to>
    <xdr:pic>
      <xdr:nvPicPr>
        <xdr:cNvPr id="4" name="Imagem 3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10475" y="17430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904875</xdr:colOff>
      <xdr:row>7</xdr:row>
      <xdr:rowOff>95250</xdr:rowOff>
    </xdr:from>
    <xdr:to>
      <xdr:col>16</xdr:col>
      <xdr:colOff>133350</xdr:colOff>
      <xdr:row>12</xdr:row>
      <xdr:rowOff>66675</xdr:rowOff>
    </xdr:to>
    <xdr:pic>
      <xdr:nvPicPr>
        <xdr:cNvPr id="5121" name="Picture 28">
          <a:extLst>
            <a:ext uri="{FF2B5EF4-FFF2-40B4-BE49-F238E27FC236}">
              <a16:creationId xmlns:a16="http://schemas.microsoft.com/office/drawing/2014/main" id="{8512D003-4364-4994-A943-1C728465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1428750"/>
          <a:ext cx="1133475" cy="9239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47625</xdr:colOff>
      <xdr:row>8</xdr:row>
      <xdr:rowOff>133350</xdr:rowOff>
    </xdr:from>
    <xdr:to>
      <xdr:col>35</xdr:col>
      <xdr:colOff>66675</xdr:colOff>
      <xdr:row>10</xdr:row>
      <xdr:rowOff>189732</xdr:rowOff>
    </xdr:to>
    <xdr:pic>
      <xdr:nvPicPr>
        <xdr:cNvPr id="4" name="Imagem 3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53425" y="165735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1295400</xdr:colOff>
      <xdr:row>2</xdr:row>
      <xdr:rowOff>66675</xdr:rowOff>
    </xdr:from>
    <xdr:to>
      <xdr:col>7</xdr:col>
      <xdr:colOff>781050</xdr:colOff>
      <xdr:row>10</xdr:row>
      <xdr:rowOff>19050</xdr:rowOff>
    </xdr:to>
    <xdr:pic>
      <xdr:nvPicPr>
        <xdr:cNvPr id="8193" name="Imagem 1" descr="207_produtos_pt-BR_img.jpg">
          <a:extLst>
            <a:ext uri="{FF2B5EF4-FFF2-40B4-BE49-F238E27FC236}">
              <a16:creationId xmlns:a16="http://schemas.microsoft.com/office/drawing/2014/main" id="{2AE348E1-90CF-4032-AF78-EF38DE44A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447675"/>
          <a:ext cx="2428875" cy="147637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466725</xdr:colOff>
      <xdr:row>4</xdr:row>
      <xdr:rowOff>104775</xdr:rowOff>
    </xdr:from>
    <xdr:to>
      <xdr:col>12</xdr:col>
      <xdr:colOff>161925</xdr:colOff>
      <xdr:row>6</xdr:row>
      <xdr:rowOff>161157</xdr:rowOff>
    </xdr:to>
    <xdr:pic>
      <xdr:nvPicPr>
        <xdr:cNvPr id="4" name="Imagem 3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486650" y="8667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200025</xdr:colOff>
      <xdr:row>6</xdr:row>
      <xdr:rowOff>123825</xdr:rowOff>
    </xdr:from>
    <xdr:to>
      <xdr:col>23</xdr:col>
      <xdr:colOff>0</xdr:colOff>
      <xdr:row>12</xdr:row>
      <xdr:rowOff>28575</xdr:rowOff>
    </xdr:to>
    <xdr:pic>
      <xdr:nvPicPr>
        <xdr:cNvPr id="6145" name="Picture 19">
          <a:extLst>
            <a:ext uri="{FF2B5EF4-FFF2-40B4-BE49-F238E27FC236}">
              <a16:creationId xmlns:a16="http://schemas.microsoft.com/office/drawing/2014/main" id="{96C0E671-47EA-4C6B-9786-82DA0E469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126682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276225</xdr:colOff>
      <xdr:row>6</xdr:row>
      <xdr:rowOff>104775</xdr:rowOff>
    </xdr:from>
    <xdr:to>
      <xdr:col>21</xdr:col>
      <xdr:colOff>0</xdr:colOff>
      <xdr:row>12</xdr:row>
      <xdr:rowOff>19050</xdr:rowOff>
    </xdr:to>
    <xdr:pic>
      <xdr:nvPicPr>
        <xdr:cNvPr id="6146" name="Picture 25">
          <a:extLst>
            <a:ext uri="{FF2B5EF4-FFF2-40B4-BE49-F238E27FC236}">
              <a16:creationId xmlns:a16="http://schemas.microsoft.com/office/drawing/2014/main" id="{02670823-0559-4551-B479-4288375D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247775"/>
          <a:ext cx="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152400</xdr:colOff>
      <xdr:row>6</xdr:row>
      <xdr:rowOff>171450</xdr:rowOff>
    </xdr:from>
    <xdr:to>
      <xdr:col>25</xdr:col>
      <xdr:colOff>0</xdr:colOff>
      <xdr:row>12</xdr:row>
      <xdr:rowOff>9525</xdr:rowOff>
    </xdr:to>
    <xdr:pic>
      <xdr:nvPicPr>
        <xdr:cNvPr id="6147" name="Picture 28">
          <a:extLst>
            <a:ext uri="{FF2B5EF4-FFF2-40B4-BE49-F238E27FC236}">
              <a16:creationId xmlns:a16="http://schemas.microsoft.com/office/drawing/2014/main" id="{78C873DD-AC95-40C3-8D88-8D51B6503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1314450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228600</xdr:colOff>
      <xdr:row>7</xdr:row>
      <xdr:rowOff>38100</xdr:rowOff>
    </xdr:from>
    <xdr:to>
      <xdr:col>30</xdr:col>
      <xdr:colOff>179700</xdr:colOff>
      <xdr:row>11</xdr:row>
      <xdr:rowOff>161925</xdr:rowOff>
    </xdr:to>
    <xdr:sp macro="" textlink="">
      <xdr:nvSpPr>
        <xdr:cNvPr id="5" name="Seta em curva para a direita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429000" y="1381125"/>
          <a:ext cx="979800" cy="885825"/>
        </a:xfrm>
        <a:prstGeom prst="curvedRigh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>
    <xdr:from>
      <xdr:col>29</xdr:col>
      <xdr:colOff>418797</xdr:colOff>
      <xdr:row>15</xdr:row>
      <xdr:rowOff>0</xdr:rowOff>
    </xdr:from>
    <xdr:to>
      <xdr:col>30</xdr:col>
      <xdr:colOff>104776</xdr:colOff>
      <xdr:row>15</xdr:row>
      <xdr:rowOff>209549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 rot="5400000">
          <a:off x="4128937" y="2890685"/>
          <a:ext cx="209549" cy="200329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316200</xdr:colOff>
      <xdr:row>6</xdr:row>
      <xdr:rowOff>180975</xdr:rowOff>
    </xdr:from>
    <xdr:to>
      <xdr:col>31</xdr:col>
      <xdr:colOff>781050</xdr:colOff>
      <xdr:row>11</xdr:row>
      <xdr:rowOff>114300</xdr:rowOff>
    </xdr:to>
    <xdr:sp macro="" textlink="">
      <xdr:nvSpPr>
        <xdr:cNvPr id="13" name="Seta em curva para a direita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 rot="10800000">
          <a:off x="4545300" y="1333500"/>
          <a:ext cx="979200" cy="885825"/>
        </a:xfrm>
        <a:prstGeom prst="curvedRightArrow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BR"/>
        </a:p>
      </xdr:txBody>
    </xdr:sp>
    <xdr:clientData/>
  </xdr:twoCellAnchor>
  <xdr:twoCellAnchor editAs="oneCell">
    <xdr:from>
      <xdr:col>39</xdr:col>
      <xdr:colOff>9525</xdr:colOff>
      <xdr:row>8</xdr:row>
      <xdr:rowOff>66675</xdr:rowOff>
    </xdr:from>
    <xdr:to>
      <xdr:col>51</xdr:col>
      <xdr:colOff>28575</xdr:colOff>
      <xdr:row>10</xdr:row>
      <xdr:rowOff>123057</xdr:rowOff>
    </xdr:to>
    <xdr:pic>
      <xdr:nvPicPr>
        <xdr:cNvPr id="9" name="Imagem 8" descr="botao_voltar (2).gif">
          <a:hlinkClick xmlns:r="http://schemas.openxmlformats.org/officeDocument/2006/relationships" r:id="rId4" tooltip="Clique aqui para voltar ao menu principal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600825" y="15906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9525</xdr:colOff>
      <xdr:row>12</xdr:row>
      <xdr:rowOff>104775</xdr:rowOff>
    </xdr:from>
    <xdr:to>
      <xdr:col>30</xdr:col>
      <xdr:colOff>133350</xdr:colOff>
      <xdr:row>14</xdr:row>
      <xdr:rowOff>180207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96125" y="22955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1590675</xdr:colOff>
      <xdr:row>2</xdr:row>
      <xdr:rowOff>95250</xdr:rowOff>
    </xdr:from>
    <xdr:to>
      <xdr:col>7</xdr:col>
      <xdr:colOff>971550</xdr:colOff>
      <xdr:row>10</xdr:row>
      <xdr:rowOff>47625</xdr:rowOff>
    </xdr:to>
    <xdr:pic>
      <xdr:nvPicPr>
        <xdr:cNvPr id="9217" name="Imagem 1" descr="191_produtos_pt-BR_img.jpg">
          <a:extLst>
            <a:ext uri="{FF2B5EF4-FFF2-40B4-BE49-F238E27FC236}">
              <a16:creationId xmlns:a16="http://schemas.microsoft.com/office/drawing/2014/main" id="{7CA10C75-E0BA-40A2-910C-52D869E3F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476250"/>
          <a:ext cx="2428875" cy="14763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95250</xdr:rowOff>
    </xdr:from>
    <xdr:to>
      <xdr:col>13</xdr:col>
      <xdr:colOff>276225</xdr:colOff>
      <xdr:row>6</xdr:row>
      <xdr:rowOff>151632</xdr:rowOff>
    </xdr:to>
    <xdr:pic>
      <xdr:nvPicPr>
        <xdr:cNvPr id="3" name="Imagem 2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20025" y="85725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1800225</xdr:colOff>
      <xdr:row>2</xdr:row>
      <xdr:rowOff>123825</xdr:rowOff>
    </xdr:from>
    <xdr:to>
      <xdr:col>7</xdr:col>
      <xdr:colOff>876300</xdr:colOff>
      <xdr:row>10</xdr:row>
      <xdr:rowOff>76200</xdr:rowOff>
    </xdr:to>
    <xdr:pic>
      <xdr:nvPicPr>
        <xdr:cNvPr id="10241" name="Imagem 1" descr="327_produtos_pt-BR_img.jpg">
          <a:extLst>
            <a:ext uri="{FF2B5EF4-FFF2-40B4-BE49-F238E27FC236}">
              <a16:creationId xmlns:a16="http://schemas.microsoft.com/office/drawing/2014/main" id="{D531AB57-DFDC-44E7-9F68-6F4AE160B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504825"/>
          <a:ext cx="2428875" cy="14763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47625</xdr:colOff>
      <xdr:row>5</xdr:row>
      <xdr:rowOff>28575</xdr:rowOff>
    </xdr:from>
    <xdr:to>
      <xdr:col>13</xdr:col>
      <xdr:colOff>304800</xdr:colOff>
      <xdr:row>7</xdr:row>
      <xdr:rowOff>84957</xdr:rowOff>
    </xdr:to>
    <xdr:pic>
      <xdr:nvPicPr>
        <xdr:cNvPr id="4" name="Imagem 3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020050" y="9810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4</xdr:row>
      <xdr:rowOff>19050</xdr:rowOff>
    </xdr:from>
    <xdr:to>
      <xdr:col>5</xdr:col>
      <xdr:colOff>638175</xdr:colOff>
      <xdr:row>7</xdr:row>
      <xdr:rowOff>123825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2952750" y="581025"/>
          <a:ext cx="628650" cy="590550"/>
        </a:xfrm>
        <a:prstGeom prst="ellipse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10</xdr:col>
      <xdr:colOff>295275</xdr:colOff>
      <xdr:row>4</xdr:row>
      <xdr:rowOff>57150</xdr:rowOff>
    </xdr:from>
    <xdr:to>
      <xdr:col>12</xdr:col>
      <xdr:colOff>466725</xdr:colOff>
      <xdr:row>7</xdr:row>
      <xdr:rowOff>8757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067550" y="6191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190500</xdr:rowOff>
    </xdr:from>
    <xdr:to>
      <xdr:col>9</xdr:col>
      <xdr:colOff>0</xdr:colOff>
      <xdr:row>14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2124075" y="381000"/>
          <a:ext cx="3486150" cy="2409825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13</xdr:col>
      <xdr:colOff>257175</xdr:colOff>
      <xdr:row>7</xdr:row>
      <xdr:rowOff>0</xdr:rowOff>
    </xdr:from>
    <xdr:to>
      <xdr:col>15</xdr:col>
      <xdr:colOff>428625</xdr:colOff>
      <xdr:row>9</xdr:row>
      <xdr:rowOff>56382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43775" y="13430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4</xdr:row>
      <xdr:rowOff>95250</xdr:rowOff>
    </xdr:from>
    <xdr:to>
      <xdr:col>10</xdr:col>
      <xdr:colOff>514350</xdr:colOff>
      <xdr:row>5</xdr:row>
      <xdr:rowOff>142107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81575" y="7715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6</xdr:row>
      <xdr:rowOff>152400</xdr:rowOff>
    </xdr:from>
    <xdr:to>
      <xdr:col>13</xdr:col>
      <xdr:colOff>19050</xdr:colOff>
      <xdr:row>9</xdr:row>
      <xdr:rowOff>56382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72500" y="10382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2</xdr:row>
      <xdr:rowOff>9525</xdr:rowOff>
    </xdr:from>
    <xdr:to>
      <xdr:col>8</xdr:col>
      <xdr:colOff>257175</xdr:colOff>
      <xdr:row>14</xdr:row>
      <xdr:rowOff>142875</xdr:rowOff>
    </xdr:to>
    <xdr:sp macro="" textlink="">
      <xdr:nvSpPr>
        <xdr:cNvPr id="2" name="Cub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2390776" y="485775"/>
          <a:ext cx="3809999" cy="2390775"/>
        </a:xfrm>
        <a:prstGeom prst="cube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6</xdr:col>
      <xdr:colOff>504826</xdr:colOff>
      <xdr:row>17</xdr:row>
      <xdr:rowOff>171450</xdr:rowOff>
    </xdr:from>
    <xdr:to>
      <xdr:col>7</xdr:col>
      <xdr:colOff>190501</xdr:colOff>
      <xdr:row>19</xdr:row>
      <xdr:rowOff>9525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 rot="5400000">
          <a:off x="5286376" y="4105275"/>
          <a:ext cx="485775" cy="295275"/>
        </a:xfrm>
        <a:prstGeom prst="line">
          <a:avLst/>
        </a:prstGeom>
        <a:ln w="31750">
          <a:solidFill>
            <a:schemeClr val="tx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142875</xdr:colOff>
      <xdr:row>10</xdr:row>
      <xdr:rowOff>161925</xdr:rowOff>
    </xdr:from>
    <xdr:to>
      <xdr:col>14</xdr:col>
      <xdr:colOff>314325</xdr:colOff>
      <xdr:row>13</xdr:row>
      <xdr:rowOff>94482</xdr:rowOff>
    </xdr:to>
    <xdr:pic>
      <xdr:nvPicPr>
        <xdr:cNvPr id="6" name="Imagem 5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10525" y="22002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20</xdr:row>
      <xdr:rowOff>66675</xdr:rowOff>
    </xdr:from>
    <xdr:to>
      <xdr:col>13</xdr:col>
      <xdr:colOff>390525</xdr:colOff>
      <xdr:row>22</xdr:row>
      <xdr:rowOff>123057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48575" y="405765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 editAs="oneCell">
    <xdr:from>
      <xdr:col>9</xdr:col>
      <xdr:colOff>609600</xdr:colOff>
      <xdr:row>3</xdr:row>
      <xdr:rowOff>47625</xdr:rowOff>
    </xdr:from>
    <xdr:to>
      <xdr:col>18</xdr:col>
      <xdr:colOff>133350</xdr:colOff>
      <xdr:row>16</xdr:row>
      <xdr:rowOff>285750</xdr:rowOff>
    </xdr:to>
    <xdr:pic>
      <xdr:nvPicPr>
        <xdr:cNvPr id="16386" name="Picture 1">
          <a:extLst>
            <a:ext uri="{FF2B5EF4-FFF2-40B4-BE49-F238E27FC236}">
              <a16:creationId xmlns:a16="http://schemas.microsoft.com/office/drawing/2014/main" id="{A160ABA7-22AC-4FB4-A170-9A9F843F5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619125"/>
          <a:ext cx="5267325" cy="2971800"/>
        </a:xfrm>
        <a:prstGeom prst="rect">
          <a:avLst/>
        </a:prstGeom>
        <a:noFill/>
        <a:ln w="1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38100</xdr:colOff>
      <xdr:row>19</xdr:row>
      <xdr:rowOff>142875</xdr:rowOff>
    </xdr:from>
    <xdr:ext cx="546086" cy="352423"/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11677650" y="3971925"/>
          <a:ext cx="546086" cy="352423"/>
        </a:xfrm>
        <a:prstGeom prst="rect">
          <a:avLst/>
        </a:prstGeom>
        <a:noFill/>
        <a:ln>
          <a:noFill/>
        </a:ln>
        <a:effectLst>
          <a:outerShdw blurRad="50800" dist="50800" dir="5400000" algn="ctr" rotWithShape="0">
            <a:schemeClr val="bg1"/>
          </a:outerShdw>
        </a:effectLst>
        <a:scene3d>
          <a:camera prst="orthographicFront"/>
          <a:lightRig rig="threePt" dir="t"/>
        </a:scene3d>
        <a:sp3d contourW="12700">
          <a:contourClr>
            <a:schemeClr val="bg1">
              <a:lumMod val="75000"/>
            </a:schemeClr>
          </a:contourClr>
        </a:sp3d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600" b="1" cap="none" spc="0">
              <a:ln w="3175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Powered</a:t>
          </a:r>
          <a:r>
            <a:rPr lang="pt-BR" sz="600" b="1" cap="none" spc="0">
              <a:ln w="12700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by</a:t>
          </a:r>
        </a:p>
        <a:p>
          <a:pPr algn="ctr"/>
          <a:r>
            <a:rPr lang="pt-BR" sz="600" b="1" cap="none" spc="0">
              <a:ln w="3175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M@icon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19</xdr:row>
      <xdr:rowOff>0</xdr:rowOff>
    </xdr:from>
    <xdr:to>
      <xdr:col>4</xdr:col>
      <xdr:colOff>571500</xdr:colOff>
      <xdr:row>26</xdr:row>
      <xdr:rowOff>95250</xdr:rowOff>
    </xdr:to>
    <xdr:sp macro="" textlink="">
      <xdr:nvSpPr>
        <xdr:cNvPr id="17409" name="Oval 3">
          <a:extLst>
            <a:ext uri="{FF2B5EF4-FFF2-40B4-BE49-F238E27FC236}">
              <a16:creationId xmlns:a16="http://schemas.microsoft.com/office/drawing/2014/main" id="{60C55AAA-7752-45C3-8FE7-5F7B9CD6C3D5}"/>
            </a:ext>
          </a:extLst>
        </xdr:cNvPr>
        <xdr:cNvSpPr>
          <a:spLocks noChangeArrowheads="1"/>
        </xdr:cNvSpPr>
      </xdr:nvSpPr>
      <xdr:spPr bwMode="auto">
        <a:xfrm>
          <a:off x="1781175" y="3124200"/>
          <a:ext cx="1228725" cy="1228725"/>
        </a:xfrm>
        <a:prstGeom prst="ellipse">
          <a:avLst/>
        </a:prstGeom>
        <a:solidFill>
          <a:srgbClr val="969696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95250</xdr:colOff>
      <xdr:row>19</xdr:row>
      <xdr:rowOff>152400</xdr:rowOff>
    </xdr:from>
    <xdr:to>
      <xdr:col>4</xdr:col>
      <xdr:colOff>419100</xdr:colOff>
      <xdr:row>25</xdr:row>
      <xdr:rowOff>114300</xdr:rowOff>
    </xdr:to>
    <xdr:sp macro="" textlink="">
      <xdr:nvSpPr>
        <xdr:cNvPr id="17410" name="Oval 4">
          <a:extLst>
            <a:ext uri="{FF2B5EF4-FFF2-40B4-BE49-F238E27FC236}">
              <a16:creationId xmlns:a16="http://schemas.microsoft.com/office/drawing/2014/main" id="{D8596662-46F1-4D74-9603-C7916A75997A}"/>
            </a:ext>
          </a:extLst>
        </xdr:cNvPr>
        <xdr:cNvSpPr>
          <a:spLocks noChangeArrowheads="1"/>
        </xdr:cNvSpPr>
      </xdr:nvSpPr>
      <xdr:spPr bwMode="auto">
        <a:xfrm>
          <a:off x="1924050" y="3276600"/>
          <a:ext cx="933450" cy="9334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15</xdr:row>
      <xdr:rowOff>28575</xdr:rowOff>
    </xdr:from>
    <xdr:to>
      <xdr:col>11</xdr:col>
      <xdr:colOff>1</xdr:colOff>
      <xdr:row>15</xdr:row>
      <xdr:rowOff>30163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 rot="10800000">
          <a:off x="0" y="2647950"/>
          <a:ext cx="6705601" cy="15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495300</xdr:colOff>
      <xdr:row>13</xdr:row>
      <xdr:rowOff>123825</xdr:rowOff>
    </xdr:from>
    <xdr:to>
      <xdr:col>20</xdr:col>
      <xdr:colOff>0</xdr:colOff>
      <xdr:row>16</xdr:row>
      <xdr:rowOff>75432</xdr:rowOff>
    </xdr:to>
    <xdr:pic>
      <xdr:nvPicPr>
        <xdr:cNvPr id="6" name="Imagem 5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10875" y="22764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7</xdr:row>
      <xdr:rowOff>266700</xdr:rowOff>
    </xdr:from>
    <xdr:to>
      <xdr:col>8</xdr:col>
      <xdr:colOff>333375</xdr:colOff>
      <xdr:row>9</xdr:row>
      <xdr:rowOff>75432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62825" y="15335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15</xdr:row>
      <xdr:rowOff>0</xdr:rowOff>
    </xdr:from>
    <xdr:to>
      <xdr:col>11</xdr:col>
      <xdr:colOff>171450</xdr:colOff>
      <xdr:row>16</xdr:row>
      <xdr:rowOff>199256</xdr:rowOff>
    </xdr:to>
    <xdr:pic>
      <xdr:nvPicPr>
        <xdr:cNvPr id="2" name="Imagem 1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62925" y="44291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>
    <xdr:from>
      <xdr:col>0</xdr:col>
      <xdr:colOff>1386417</xdr:colOff>
      <xdr:row>20</xdr:row>
      <xdr:rowOff>190500</xdr:rowOff>
    </xdr:from>
    <xdr:to>
      <xdr:col>9</xdr:col>
      <xdr:colOff>497417</xdr:colOff>
      <xdr:row>20</xdr:row>
      <xdr:rowOff>190500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1386417" y="5662083"/>
          <a:ext cx="7270750" cy="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1270004</xdr:colOff>
      <xdr:row>20</xdr:row>
      <xdr:rowOff>141816</xdr:rowOff>
    </xdr:from>
    <xdr:to>
      <xdr:col>2</xdr:col>
      <xdr:colOff>1274236</xdr:colOff>
      <xdr:row>25</xdr:row>
      <xdr:rowOff>211665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CxnSpPr/>
      </xdr:nvCxnSpPr>
      <xdr:spPr>
        <a:xfrm rot="5400000">
          <a:off x="2258486" y="6254750"/>
          <a:ext cx="1286933" cy="4232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675190</xdr:colOff>
      <xdr:row>20</xdr:row>
      <xdr:rowOff>177804</xdr:rowOff>
    </xdr:from>
    <xdr:to>
      <xdr:col>4</xdr:col>
      <xdr:colOff>681540</xdr:colOff>
      <xdr:row>25</xdr:row>
      <xdr:rowOff>194737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CxnSpPr/>
      </xdr:nvCxnSpPr>
      <xdr:spPr>
        <a:xfrm rot="16200000" flipH="1">
          <a:off x="3321023" y="6263221"/>
          <a:ext cx="1234017" cy="635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315386</xdr:colOff>
      <xdr:row>20</xdr:row>
      <xdr:rowOff>146051</xdr:rowOff>
    </xdr:from>
    <xdr:to>
      <xdr:col>5</xdr:col>
      <xdr:colOff>321736</xdr:colOff>
      <xdr:row>25</xdr:row>
      <xdr:rowOff>162984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CxnSpPr/>
      </xdr:nvCxnSpPr>
      <xdr:spPr>
        <a:xfrm rot="16200000" flipH="1">
          <a:off x="4411135" y="6231468"/>
          <a:ext cx="1234017" cy="635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594758</xdr:colOff>
      <xdr:row>20</xdr:row>
      <xdr:rowOff>182038</xdr:rowOff>
    </xdr:from>
    <xdr:to>
      <xdr:col>6</xdr:col>
      <xdr:colOff>601108</xdr:colOff>
      <xdr:row>25</xdr:row>
      <xdr:rowOff>198971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CxnSpPr/>
      </xdr:nvCxnSpPr>
      <xdr:spPr>
        <a:xfrm rot="16200000" flipH="1">
          <a:off x="5441924" y="6267455"/>
          <a:ext cx="1234017" cy="635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404286</xdr:colOff>
      <xdr:row>20</xdr:row>
      <xdr:rowOff>192618</xdr:rowOff>
    </xdr:from>
    <xdr:to>
      <xdr:col>7</xdr:col>
      <xdr:colOff>410636</xdr:colOff>
      <xdr:row>25</xdr:row>
      <xdr:rowOff>209551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CxnSpPr/>
      </xdr:nvCxnSpPr>
      <xdr:spPr>
        <a:xfrm rot="16200000" flipH="1">
          <a:off x="6479119" y="6278035"/>
          <a:ext cx="1234017" cy="635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207409</xdr:colOff>
      <xdr:row>20</xdr:row>
      <xdr:rowOff>228605</xdr:rowOff>
    </xdr:from>
    <xdr:to>
      <xdr:col>8</xdr:col>
      <xdr:colOff>213759</xdr:colOff>
      <xdr:row>26</xdr:row>
      <xdr:rowOff>2122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CxnSpPr/>
      </xdr:nvCxnSpPr>
      <xdr:spPr>
        <a:xfrm rot="16200000" flipH="1">
          <a:off x="7509908" y="6314022"/>
          <a:ext cx="1234017" cy="635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825500</xdr:colOff>
      <xdr:row>25</xdr:row>
      <xdr:rowOff>201083</xdr:rowOff>
    </xdr:from>
    <xdr:to>
      <xdr:col>4</xdr:col>
      <xdr:colOff>1026583</xdr:colOff>
      <xdr:row>25</xdr:row>
      <xdr:rowOff>201083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CxnSpPr/>
      </xdr:nvCxnSpPr>
      <xdr:spPr>
        <a:xfrm flipV="1">
          <a:off x="2455333" y="6889750"/>
          <a:ext cx="1830917" cy="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136525</xdr:colOff>
      <xdr:row>25</xdr:row>
      <xdr:rowOff>215898</xdr:rowOff>
    </xdr:from>
    <xdr:to>
      <xdr:col>4</xdr:col>
      <xdr:colOff>162985</xdr:colOff>
      <xdr:row>34</xdr:row>
      <xdr:rowOff>120647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CxnSpPr/>
      </xdr:nvCxnSpPr>
      <xdr:spPr>
        <a:xfrm rot="5400000">
          <a:off x="2361672" y="7939085"/>
          <a:ext cx="2095499" cy="2646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1185333</xdr:colOff>
      <xdr:row>28</xdr:row>
      <xdr:rowOff>148166</xdr:rowOff>
    </xdr:from>
    <xdr:to>
      <xdr:col>4</xdr:col>
      <xdr:colOff>772583</xdr:colOff>
      <xdr:row>33</xdr:row>
      <xdr:rowOff>201083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2815166" y="7567083"/>
          <a:ext cx="1217084" cy="1270000"/>
        </a:xfrm>
        <a:prstGeom prst="ellipse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1168399</xdr:colOff>
      <xdr:row>34</xdr:row>
      <xdr:rowOff>152397</xdr:rowOff>
    </xdr:from>
    <xdr:to>
      <xdr:col>4</xdr:col>
      <xdr:colOff>755649</xdr:colOff>
      <xdr:row>39</xdr:row>
      <xdr:rowOff>205314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SpPr/>
      </xdr:nvSpPr>
      <xdr:spPr>
        <a:xfrm>
          <a:off x="2798232" y="9031814"/>
          <a:ext cx="1217084" cy="1270000"/>
        </a:xfrm>
        <a:prstGeom prst="ellipse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6</xdr:col>
      <xdr:colOff>237066</xdr:colOff>
      <xdr:row>25</xdr:row>
      <xdr:rowOff>205319</xdr:rowOff>
    </xdr:from>
    <xdr:to>
      <xdr:col>7</xdr:col>
      <xdr:colOff>840316</xdr:colOff>
      <xdr:row>25</xdr:row>
      <xdr:rowOff>205319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CxnSpPr/>
      </xdr:nvCxnSpPr>
      <xdr:spPr>
        <a:xfrm flipV="1">
          <a:off x="5698066" y="6893986"/>
          <a:ext cx="1830917" cy="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1177925</xdr:colOff>
      <xdr:row>25</xdr:row>
      <xdr:rowOff>230717</xdr:rowOff>
    </xdr:from>
    <xdr:to>
      <xdr:col>6</xdr:col>
      <xdr:colOff>1204385</xdr:colOff>
      <xdr:row>34</xdr:row>
      <xdr:rowOff>135466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CxnSpPr/>
      </xdr:nvCxnSpPr>
      <xdr:spPr>
        <a:xfrm rot="5400000">
          <a:off x="5604405" y="7953904"/>
          <a:ext cx="2095499" cy="2646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596899</xdr:colOff>
      <xdr:row>28</xdr:row>
      <xdr:rowOff>162985</xdr:rowOff>
    </xdr:from>
    <xdr:to>
      <xdr:col>7</xdr:col>
      <xdr:colOff>586316</xdr:colOff>
      <xdr:row>33</xdr:row>
      <xdr:rowOff>215902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SpPr/>
      </xdr:nvSpPr>
      <xdr:spPr>
        <a:xfrm>
          <a:off x="6057899" y="7581902"/>
          <a:ext cx="1217084" cy="1270000"/>
        </a:xfrm>
        <a:prstGeom prst="ellipse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6</xdr:col>
      <xdr:colOff>579965</xdr:colOff>
      <xdr:row>34</xdr:row>
      <xdr:rowOff>167216</xdr:rowOff>
    </xdr:from>
    <xdr:to>
      <xdr:col>7</xdr:col>
      <xdr:colOff>569382</xdr:colOff>
      <xdr:row>39</xdr:row>
      <xdr:rowOff>220133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SpPr/>
      </xdr:nvSpPr>
      <xdr:spPr>
        <a:xfrm>
          <a:off x="6040965" y="9046633"/>
          <a:ext cx="1217084" cy="1270000"/>
        </a:xfrm>
        <a:prstGeom prst="ellipse">
          <a:avLst/>
        </a:prstGeom>
        <a:blipFill>
          <a:blip xmlns:r="http://schemas.openxmlformats.org/officeDocument/2006/relationships" r:embed="rId3" cstate="print"/>
          <a:tile tx="0" ty="0" sx="100000" sy="100000" flip="none" algn="tl"/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2</xdr:col>
      <xdr:colOff>232810</xdr:colOff>
      <xdr:row>20</xdr:row>
      <xdr:rowOff>137587</xdr:rowOff>
    </xdr:from>
    <xdr:to>
      <xdr:col>2</xdr:col>
      <xdr:colOff>239160</xdr:colOff>
      <xdr:row>25</xdr:row>
      <xdr:rowOff>154520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CxnSpPr/>
      </xdr:nvCxnSpPr>
      <xdr:spPr>
        <a:xfrm rot="16200000" flipH="1">
          <a:off x="1248809" y="6223004"/>
          <a:ext cx="1234017" cy="6350"/>
        </a:xfrm>
        <a:prstGeom prst="line">
          <a:avLst/>
        </a:prstGeom>
        <a:ln w="920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307895</xdr:colOff>
      <xdr:row>14</xdr:row>
      <xdr:rowOff>158233</xdr:rowOff>
    </xdr:from>
    <xdr:ext cx="4136132" cy="937629"/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/>
      </xdr:nvSpPr>
      <xdr:spPr>
        <a:xfrm rot="19289080">
          <a:off x="9081478" y="4169316"/>
          <a:ext cx="413613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&lt;=   EXEMPLO</a:t>
          </a:r>
        </a:p>
      </xdr:txBody>
    </xdr:sp>
    <xdr:clientData/>
  </xdr:oneCellAnchor>
  <xdr:oneCellAnchor>
    <xdr:from>
      <xdr:col>12</xdr:col>
      <xdr:colOff>603249</xdr:colOff>
      <xdr:row>38</xdr:row>
      <xdr:rowOff>148167</xdr:rowOff>
    </xdr:from>
    <xdr:ext cx="546086" cy="352423"/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SpPr/>
      </xdr:nvSpPr>
      <xdr:spPr>
        <a:xfrm>
          <a:off x="10604499" y="10001250"/>
          <a:ext cx="546086" cy="352423"/>
        </a:xfrm>
        <a:prstGeom prst="rect">
          <a:avLst/>
        </a:prstGeom>
        <a:noFill/>
        <a:ln>
          <a:noFill/>
        </a:ln>
        <a:effectLst>
          <a:outerShdw blurRad="50800" dist="50800" dir="5400000" algn="ctr" rotWithShape="0">
            <a:schemeClr val="bg1"/>
          </a:outerShdw>
        </a:effectLst>
        <a:scene3d>
          <a:camera prst="orthographicFront"/>
          <a:lightRig rig="threePt" dir="t"/>
        </a:scene3d>
        <a:sp3d contourW="12700">
          <a:contourClr>
            <a:schemeClr val="bg1">
              <a:lumMod val="75000"/>
            </a:schemeClr>
          </a:contourClr>
        </a:sp3d>
      </xdr:spPr>
      <xdr:txBody>
        <a:bodyPr wrap="square" lIns="91440" tIns="45720" rIns="91440" bIns="45720">
          <a:noAutofit/>
        </a:bodyPr>
        <a:lstStyle/>
        <a:p>
          <a:pPr algn="ctr"/>
          <a:r>
            <a:rPr lang="pt-BR" sz="600" b="1" cap="none" spc="0">
              <a:ln w="3175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Powered</a:t>
          </a:r>
          <a:r>
            <a:rPr lang="pt-BR" sz="600" b="1" cap="none" spc="0">
              <a:ln w="12700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by</a:t>
          </a:r>
        </a:p>
        <a:p>
          <a:pPr algn="ctr"/>
          <a:r>
            <a:rPr lang="pt-BR" sz="600" b="1" cap="none" spc="0">
              <a:ln w="3175">
                <a:solidFill>
                  <a:schemeClr val="bg1">
                    <a:lumMod val="75000"/>
                  </a:schemeClr>
                </a:soli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M@icon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885825</xdr:colOff>
      <xdr:row>15</xdr:row>
      <xdr:rowOff>0</xdr:rowOff>
    </xdr:from>
    <xdr:to>
      <xdr:col>11</xdr:col>
      <xdr:colOff>9525</xdr:colOff>
      <xdr:row>16</xdr:row>
      <xdr:rowOff>189732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72550" y="42672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</xdr:row>
      <xdr:rowOff>247650</xdr:rowOff>
    </xdr:from>
    <xdr:to>
      <xdr:col>6</xdr:col>
      <xdr:colOff>495300</xdr:colOff>
      <xdr:row>7</xdr:row>
      <xdr:rowOff>19050</xdr:rowOff>
    </xdr:to>
    <xdr:pic>
      <xdr:nvPicPr>
        <xdr:cNvPr id="21505" name="Picture 2">
          <a:extLst>
            <a:ext uri="{FF2B5EF4-FFF2-40B4-BE49-F238E27FC236}">
              <a16:creationId xmlns:a16="http://schemas.microsoft.com/office/drawing/2014/main" id="{2B94FD30-A749-4588-9E5E-C3FE4216E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4350" y="723900"/>
          <a:ext cx="14668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  <xdr:twoCellAnchor editAs="oneCell">
    <xdr:from>
      <xdr:col>7</xdr:col>
      <xdr:colOff>133350</xdr:colOff>
      <xdr:row>2</xdr:row>
      <xdr:rowOff>285750</xdr:rowOff>
    </xdr:from>
    <xdr:to>
      <xdr:col>9</xdr:col>
      <xdr:colOff>304800</xdr:colOff>
      <xdr:row>4</xdr:row>
      <xdr:rowOff>65907</xdr:rowOff>
    </xdr:to>
    <xdr:pic>
      <xdr:nvPicPr>
        <xdr:cNvPr id="4" name="Imagem 3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38850" y="7620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838200</xdr:colOff>
      <xdr:row>0</xdr:row>
      <xdr:rowOff>76200</xdr:rowOff>
    </xdr:from>
    <xdr:to>
      <xdr:col>9</xdr:col>
      <xdr:colOff>133350</xdr:colOff>
      <xdr:row>2</xdr:row>
      <xdr:rowOff>75432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201150" y="762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17</xdr:row>
      <xdr:rowOff>161925</xdr:rowOff>
    </xdr:from>
    <xdr:to>
      <xdr:col>21</xdr:col>
      <xdr:colOff>161925</xdr:colOff>
      <xdr:row>19</xdr:row>
      <xdr:rowOff>161157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43600" y="401955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40</xdr:row>
      <xdr:rowOff>76200</xdr:rowOff>
    </xdr:from>
    <xdr:to>
      <xdr:col>12</xdr:col>
      <xdr:colOff>66675</xdr:colOff>
      <xdr:row>58</xdr:row>
      <xdr:rowOff>76200</xdr:rowOff>
    </xdr:to>
    <xdr:sp macro="" textlink="">
      <xdr:nvSpPr>
        <xdr:cNvPr id="24577" name="Rectangle 1">
          <a:extLst>
            <a:ext uri="{FF2B5EF4-FFF2-40B4-BE49-F238E27FC236}">
              <a16:creationId xmlns:a16="http://schemas.microsoft.com/office/drawing/2014/main" id="{98AADA8D-F5B8-4294-980A-E30D00278729}"/>
            </a:ext>
          </a:extLst>
        </xdr:cNvPr>
        <xdr:cNvSpPr>
          <a:spLocks noChangeArrowheads="1"/>
        </xdr:cNvSpPr>
      </xdr:nvSpPr>
      <xdr:spPr bwMode="auto">
        <a:xfrm>
          <a:off x="1019175" y="7877175"/>
          <a:ext cx="7105650" cy="34671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85725</xdr:colOff>
      <xdr:row>49</xdr:row>
      <xdr:rowOff>66675</xdr:rowOff>
    </xdr:from>
    <xdr:to>
      <xdr:col>3</xdr:col>
      <xdr:colOff>457200</xdr:colOff>
      <xdr:row>58</xdr:row>
      <xdr:rowOff>66675</xdr:rowOff>
    </xdr:to>
    <xdr:sp macro="" textlink="">
      <xdr:nvSpPr>
        <xdr:cNvPr id="24578" name="Rectangle 2">
          <a:extLst>
            <a:ext uri="{FF2B5EF4-FFF2-40B4-BE49-F238E27FC236}">
              <a16:creationId xmlns:a16="http://schemas.microsoft.com/office/drawing/2014/main" id="{D9575B0A-ABAD-4AA2-9A1F-6415F830A5FA}"/>
            </a:ext>
          </a:extLst>
        </xdr:cNvPr>
        <xdr:cNvSpPr>
          <a:spLocks noChangeArrowheads="1"/>
        </xdr:cNvSpPr>
      </xdr:nvSpPr>
      <xdr:spPr bwMode="auto">
        <a:xfrm>
          <a:off x="1028700" y="9620250"/>
          <a:ext cx="1104900" cy="1714500"/>
        </a:xfrm>
        <a:prstGeom prst="rect">
          <a:avLst/>
        </a:prstGeom>
        <a:noFill/>
        <a:ln w="936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85725</xdr:colOff>
      <xdr:row>42</xdr:row>
      <xdr:rowOff>0</xdr:rowOff>
    </xdr:from>
    <xdr:to>
      <xdr:col>3</xdr:col>
      <xdr:colOff>457200</xdr:colOff>
      <xdr:row>49</xdr:row>
      <xdr:rowOff>38100</xdr:rowOff>
    </xdr:to>
    <xdr:sp macro="" textlink="">
      <xdr:nvSpPr>
        <xdr:cNvPr id="24579" name="Rectangle 3">
          <a:extLst>
            <a:ext uri="{FF2B5EF4-FFF2-40B4-BE49-F238E27FC236}">
              <a16:creationId xmlns:a16="http://schemas.microsoft.com/office/drawing/2014/main" id="{C2E4936D-9187-4007-9CC6-2B847FEFC90E}"/>
            </a:ext>
          </a:extLst>
        </xdr:cNvPr>
        <xdr:cNvSpPr>
          <a:spLocks noChangeArrowheads="1"/>
        </xdr:cNvSpPr>
      </xdr:nvSpPr>
      <xdr:spPr bwMode="auto">
        <a:xfrm>
          <a:off x="1028700" y="8181975"/>
          <a:ext cx="1104900" cy="1409700"/>
        </a:xfrm>
        <a:prstGeom prst="rect">
          <a:avLst/>
        </a:prstGeom>
        <a:noFill/>
        <a:ln w="9360">
          <a:solidFill>
            <a:srgbClr val="00000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447675</xdr:colOff>
      <xdr:row>49</xdr:row>
      <xdr:rowOff>47625</xdr:rowOff>
    </xdr:from>
    <xdr:to>
      <xdr:col>4</xdr:col>
      <xdr:colOff>847725</xdr:colOff>
      <xdr:row>58</xdr:row>
      <xdr:rowOff>66675</xdr:rowOff>
    </xdr:to>
    <xdr:sp macro="" textlink="">
      <xdr:nvSpPr>
        <xdr:cNvPr id="24580" name="Rectangle 4">
          <a:extLst>
            <a:ext uri="{FF2B5EF4-FFF2-40B4-BE49-F238E27FC236}">
              <a16:creationId xmlns:a16="http://schemas.microsoft.com/office/drawing/2014/main" id="{1992F02A-2A51-4B8A-8AED-00C332F1C37D}"/>
            </a:ext>
          </a:extLst>
        </xdr:cNvPr>
        <xdr:cNvSpPr>
          <a:spLocks noChangeArrowheads="1"/>
        </xdr:cNvSpPr>
      </xdr:nvSpPr>
      <xdr:spPr bwMode="auto">
        <a:xfrm>
          <a:off x="2124075" y="9601200"/>
          <a:ext cx="1114425" cy="1733550"/>
        </a:xfrm>
        <a:prstGeom prst="rect">
          <a:avLst/>
        </a:prstGeom>
        <a:noFill/>
        <a:ln w="9360">
          <a:solidFill>
            <a:srgbClr val="80808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838200</xdr:colOff>
      <xdr:row>49</xdr:row>
      <xdr:rowOff>47625</xdr:rowOff>
    </xdr:from>
    <xdr:to>
      <xdr:col>6</xdr:col>
      <xdr:colOff>419100</xdr:colOff>
      <xdr:row>58</xdr:row>
      <xdr:rowOff>66675</xdr:rowOff>
    </xdr:to>
    <xdr:sp macro="" textlink="">
      <xdr:nvSpPr>
        <xdr:cNvPr id="24581" name="Rectangle 5">
          <a:extLst>
            <a:ext uri="{FF2B5EF4-FFF2-40B4-BE49-F238E27FC236}">
              <a16:creationId xmlns:a16="http://schemas.microsoft.com/office/drawing/2014/main" id="{23282D07-5579-43D7-B91D-BB68C335CBFA}"/>
            </a:ext>
          </a:extLst>
        </xdr:cNvPr>
        <xdr:cNvSpPr>
          <a:spLocks noChangeArrowheads="1"/>
        </xdr:cNvSpPr>
      </xdr:nvSpPr>
      <xdr:spPr bwMode="auto">
        <a:xfrm>
          <a:off x="3228975" y="9601200"/>
          <a:ext cx="1104900" cy="1733550"/>
        </a:xfrm>
        <a:prstGeom prst="rect">
          <a:avLst/>
        </a:prstGeom>
        <a:noFill/>
        <a:ln w="9360">
          <a:solidFill>
            <a:srgbClr val="80808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419100</xdr:colOff>
      <xdr:row>49</xdr:row>
      <xdr:rowOff>47625</xdr:rowOff>
    </xdr:from>
    <xdr:to>
      <xdr:col>8</xdr:col>
      <xdr:colOff>66675</xdr:colOff>
      <xdr:row>58</xdr:row>
      <xdr:rowOff>66675</xdr:rowOff>
    </xdr:to>
    <xdr:sp macro="" textlink="">
      <xdr:nvSpPr>
        <xdr:cNvPr id="24582" name="Rectangle 6">
          <a:extLst>
            <a:ext uri="{FF2B5EF4-FFF2-40B4-BE49-F238E27FC236}">
              <a16:creationId xmlns:a16="http://schemas.microsoft.com/office/drawing/2014/main" id="{6C605476-9AF9-49E6-9BA7-28177B94EC17}"/>
            </a:ext>
          </a:extLst>
        </xdr:cNvPr>
        <xdr:cNvSpPr>
          <a:spLocks noChangeArrowheads="1"/>
        </xdr:cNvSpPr>
      </xdr:nvSpPr>
      <xdr:spPr bwMode="auto">
        <a:xfrm>
          <a:off x="4333875" y="9601200"/>
          <a:ext cx="1104900" cy="1733550"/>
        </a:xfrm>
        <a:prstGeom prst="rect">
          <a:avLst/>
        </a:prstGeom>
        <a:noFill/>
        <a:ln w="9360">
          <a:solidFill>
            <a:srgbClr val="80808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552450</xdr:colOff>
      <xdr:row>49</xdr:row>
      <xdr:rowOff>47625</xdr:rowOff>
    </xdr:from>
    <xdr:to>
      <xdr:col>11</xdr:col>
      <xdr:colOff>133350</xdr:colOff>
      <xdr:row>58</xdr:row>
      <xdr:rowOff>66675</xdr:rowOff>
    </xdr:to>
    <xdr:sp macro="" textlink="">
      <xdr:nvSpPr>
        <xdr:cNvPr id="24583" name="Rectangle 7">
          <a:extLst>
            <a:ext uri="{FF2B5EF4-FFF2-40B4-BE49-F238E27FC236}">
              <a16:creationId xmlns:a16="http://schemas.microsoft.com/office/drawing/2014/main" id="{733466D5-B944-4A8E-A065-D8AB9FFF6B90}"/>
            </a:ext>
          </a:extLst>
        </xdr:cNvPr>
        <xdr:cNvSpPr>
          <a:spLocks noChangeArrowheads="1"/>
        </xdr:cNvSpPr>
      </xdr:nvSpPr>
      <xdr:spPr bwMode="auto">
        <a:xfrm>
          <a:off x="6543675" y="9601200"/>
          <a:ext cx="1104900" cy="1733550"/>
        </a:xfrm>
        <a:prstGeom prst="rect">
          <a:avLst/>
        </a:prstGeom>
        <a:noFill/>
        <a:ln w="9360">
          <a:solidFill>
            <a:srgbClr val="80808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66675</xdr:colOff>
      <xdr:row>49</xdr:row>
      <xdr:rowOff>47625</xdr:rowOff>
    </xdr:from>
    <xdr:to>
      <xdr:col>9</xdr:col>
      <xdr:colOff>552450</xdr:colOff>
      <xdr:row>58</xdr:row>
      <xdr:rowOff>66675</xdr:rowOff>
    </xdr:to>
    <xdr:sp macro="" textlink="">
      <xdr:nvSpPr>
        <xdr:cNvPr id="24584" name="Rectangle 8">
          <a:extLst>
            <a:ext uri="{FF2B5EF4-FFF2-40B4-BE49-F238E27FC236}">
              <a16:creationId xmlns:a16="http://schemas.microsoft.com/office/drawing/2014/main" id="{D8D5C420-C536-482A-B9AA-160C11852D7F}"/>
            </a:ext>
          </a:extLst>
        </xdr:cNvPr>
        <xdr:cNvSpPr>
          <a:spLocks noChangeArrowheads="1"/>
        </xdr:cNvSpPr>
      </xdr:nvSpPr>
      <xdr:spPr bwMode="auto">
        <a:xfrm>
          <a:off x="5438775" y="9601200"/>
          <a:ext cx="1104900" cy="1733550"/>
        </a:xfrm>
        <a:prstGeom prst="rect">
          <a:avLst/>
        </a:prstGeom>
        <a:noFill/>
        <a:ln w="9360">
          <a:solidFill>
            <a:srgbClr val="808080"/>
          </a:solidFill>
          <a:prstDash val="sysDot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133350</xdr:colOff>
      <xdr:row>40</xdr:row>
      <xdr:rowOff>76200</xdr:rowOff>
    </xdr:from>
    <xdr:to>
      <xdr:col>12</xdr:col>
      <xdr:colOff>76200</xdr:colOff>
      <xdr:row>58</xdr:row>
      <xdr:rowOff>76200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>
          <a:spLocks noChangeArrowheads="1"/>
        </xdr:cNvSpPr>
      </xdr:nvSpPr>
      <xdr:spPr bwMode="auto">
        <a:xfrm>
          <a:off x="7648575" y="5114925"/>
          <a:ext cx="485775" cy="3810000"/>
        </a:xfrm>
        <a:prstGeom prst="rect">
          <a:avLst/>
        </a:prstGeom>
        <a:solidFill>
          <a:srgbClr val="CCFFFF">
            <a:alpha val="50000"/>
          </a:srgbClr>
        </a:solidFill>
        <a:ln w="6480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0000" tIns="108000" rIns="90000" bIns="46800" anchor="ctr" upright="1"/>
        <a:lstStyle/>
        <a:p>
          <a:pPr algn="ctr" rtl="0">
            <a:lnSpc>
              <a:spcPts val="1500"/>
            </a:lnSpc>
            <a:defRPr sz="1000"/>
          </a:pPr>
          <a:r>
            <a:rPr lang="pt-BR" sz="1400" b="1" i="0" strike="noStrike">
              <a:solidFill>
                <a:srgbClr val="FF0000"/>
              </a:solidFill>
              <a:latin typeface="Arial"/>
              <a:cs typeface="Arial"/>
            </a:rPr>
            <a:t>MODELO 2</a:t>
          </a:r>
        </a:p>
      </xdr:txBody>
    </xdr:sp>
    <xdr:clientData/>
  </xdr:twoCellAnchor>
  <xdr:twoCellAnchor>
    <xdr:from>
      <xdr:col>2</xdr:col>
      <xdr:colOff>76200</xdr:colOff>
      <xdr:row>40</xdr:row>
      <xdr:rowOff>85725</xdr:rowOff>
    </xdr:from>
    <xdr:to>
      <xdr:col>12</xdr:col>
      <xdr:colOff>57150</xdr:colOff>
      <xdr:row>42</xdr:row>
      <xdr:rowOff>0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>
          <a:spLocks noChangeArrowheads="1"/>
        </xdr:cNvSpPr>
      </xdr:nvSpPr>
      <xdr:spPr bwMode="auto">
        <a:xfrm>
          <a:off x="1019175" y="5124450"/>
          <a:ext cx="7096125" cy="419100"/>
        </a:xfrm>
        <a:prstGeom prst="rect">
          <a:avLst/>
        </a:prstGeom>
        <a:solidFill>
          <a:srgbClr val="CCFFFF">
            <a:alpha val="50000"/>
          </a:srgbClr>
        </a:solidFill>
        <a:ln w="6480">
          <a:solidFill>
            <a:srgbClr val="808080"/>
          </a:solidFill>
          <a:miter lim="800000"/>
          <a:headEnd/>
          <a:tailEnd/>
        </a:ln>
        <a:effectLst/>
      </xdr:spPr>
      <xdr:txBody>
        <a:bodyPr vertOverflow="clip" wrap="square" lIns="90000" tIns="108000" rIns="90000" bIns="46800" anchor="t" upright="1"/>
        <a:lstStyle/>
        <a:p>
          <a:pPr algn="l" rtl="0">
            <a:defRPr sz="1000"/>
          </a:pPr>
          <a:r>
            <a:rPr lang="pt-BR" sz="1400" b="0" i="0" strike="noStrike">
              <a:solidFill>
                <a:srgbClr val="000000"/>
              </a:solidFill>
              <a:latin typeface="Tahoma"/>
              <a:cs typeface="Tahoma"/>
            </a:rPr>
            <a:t>                                               </a:t>
          </a:r>
          <a:r>
            <a:rPr lang="pt-BR" sz="1400" b="1" i="0" strike="noStrike">
              <a:solidFill>
                <a:srgbClr val="FF0000"/>
              </a:solidFill>
              <a:latin typeface="Tahoma"/>
              <a:cs typeface="Tahoma"/>
            </a:rPr>
            <a:t>         </a:t>
          </a:r>
          <a:r>
            <a:rPr lang="pt-BR" sz="1400" b="1" i="0" strike="noStrike">
              <a:solidFill>
                <a:srgbClr val="FF0000"/>
              </a:solidFill>
              <a:latin typeface="Arial"/>
              <a:cs typeface="Arial"/>
            </a:rPr>
            <a:t>MODELO 1</a:t>
          </a:r>
        </a:p>
      </xdr:txBody>
    </xdr:sp>
    <xdr:clientData/>
  </xdr:twoCellAnchor>
  <xdr:twoCellAnchor>
    <xdr:from>
      <xdr:col>13</xdr:col>
      <xdr:colOff>38100</xdr:colOff>
      <xdr:row>42</xdr:row>
      <xdr:rowOff>0</xdr:rowOff>
    </xdr:from>
    <xdr:to>
      <xdr:col>13</xdr:col>
      <xdr:colOff>381000</xdr:colOff>
      <xdr:row>42</xdr:row>
      <xdr:rowOff>0</xdr:rowOff>
    </xdr:to>
    <xdr:sp macro="" textlink="">
      <xdr:nvSpPr>
        <xdr:cNvPr id="24587" name="Line 11">
          <a:extLst>
            <a:ext uri="{FF2B5EF4-FFF2-40B4-BE49-F238E27FC236}">
              <a16:creationId xmlns:a16="http://schemas.microsoft.com/office/drawing/2014/main" id="{E61D3A44-4FFB-4868-B15C-AB115A2E28F7}"/>
            </a:ext>
          </a:extLst>
        </xdr:cNvPr>
        <xdr:cNvSpPr>
          <a:spLocks noChangeShapeType="1"/>
        </xdr:cNvSpPr>
      </xdr:nvSpPr>
      <xdr:spPr bwMode="auto">
        <a:xfrm>
          <a:off x="8201025" y="8181975"/>
          <a:ext cx="342900" cy="0"/>
        </a:xfrm>
        <a:prstGeom prst="line">
          <a:avLst/>
        </a:prstGeom>
        <a:noFill/>
        <a:ln w="9360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40</xdr:row>
      <xdr:rowOff>85725</xdr:rowOff>
    </xdr:from>
    <xdr:to>
      <xdr:col>13</xdr:col>
      <xdr:colOff>352425</xdr:colOff>
      <xdr:row>40</xdr:row>
      <xdr:rowOff>85725</xdr:rowOff>
    </xdr:to>
    <xdr:sp macro="" textlink="">
      <xdr:nvSpPr>
        <xdr:cNvPr id="24588" name="Line 12">
          <a:extLst>
            <a:ext uri="{FF2B5EF4-FFF2-40B4-BE49-F238E27FC236}">
              <a16:creationId xmlns:a16="http://schemas.microsoft.com/office/drawing/2014/main" id="{4FEB3645-9F33-48A3-9743-50CE5968CF97}"/>
            </a:ext>
          </a:extLst>
        </xdr:cNvPr>
        <xdr:cNvSpPr>
          <a:spLocks noChangeShapeType="1"/>
        </xdr:cNvSpPr>
      </xdr:nvSpPr>
      <xdr:spPr bwMode="auto">
        <a:xfrm>
          <a:off x="8172450" y="7886700"/>
          <a:ext cx="342900" cy="0"/>
        </a:xfrm>
        <a:prstGeom prst="line">
          <a:avLst/>
        </a:prstGeom>
        <a:noFill/>
        <a:ln w="9360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104775</xdr:colOff>
      <xdr:row>58</xdr:row>
      <xdr:rowOff>123825</xdr:rowOff>
    </xdr:from>
    <xdr:to>
      <xdr:col>11</xdr:col>
      <xdr:colOff>104775</xdr:colOff>
      <xdr:row>60</xdr:row>
      <xdr:rowOff>28575</xdr:rowOff>
    </xdr:to>
    <xdr:sp macro="" textlink="">
      <xdr:nvSpPr>
        <xdr:cNvPr id="24589" name="Line 13">
          <a:extLst>
            <a:ext uri="{FF2B5EF4-FFF2-40B4-BE49-F238E27FC236}">
              <a16:creationId xmlns:a16="http://schemas.microsoft.com/office/drawing/2014/main" id="{E238BBBC-1031-49BF-A147-DC33AA6F3FB8}"/>
            </a:ext>
          </a:extLst>
        </xdr:cNvPr>
        <xdr:cNvSpPr>
          <a:spLocks noChangeShapeType="1"/>
        </xdr:cNvSpPr>
      </xdr:nvSpPr>
      <xdr:spPr bwMode="auto">
        <a:xfrm>
          <a:off x="7620000" y="11391900"/>
          <a:ext cx="0" cy="285750"/>
        </a:xfrm>
        <a:prstGeom prst="line">
          <a:avLst/>
        </a:prstGeom>
        <a:noFill/>
        <a:ln w="9360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85725</xdr:colOff>
      <xdr:row>58</xdr:row>
      <xdr:rowOff>123825</xdr:rowOff>
    </xdr:from>
    <xdr:to>
      <xdr:col>12</xdr:col>
      <xdr:colOff>85725</xdr:colOff>
      <xdr:row>60</xdr:row>
      <xdr:rowOff>28575</xdr:rowOff>
    </xdr:to>
    <xdr:sp macro="" textlink="">
      <xdr:nvSpPr>
        <xdr:cNvPr id="24590" name="Line 15">
          <a:extLst>
            <a:ext uri="{FF2B5EF4-FFF2-40B4-BE49-F238E27FC236}">
              <a16:creationId xmlns:a16="http://schemas.microsoft.com/office/drawing/2014/main" id="{F8E08D02-CF06-49AD-8FFC-AF41C1596D4B}"/>
            </a:ext>
          </a:extLst>
        </xdr:cNvPr>
        <xdr:cNvSpPr>
          <a:spLocks noChangeShapeType="1"/>
        </xdr:cNvSpPr>
      </xdr:nvSpPr>
      <xdr:spPr bwMode="auto">
        <a:xfrm>
          <a:off x="8143875" y="11391900"/>
          <a:ext cx="0" cy="285750"/>
        </a:xfrm>
        <a:prstGeom prst="line">
          <a:avLst/>
        </a:prstGeom>
        <a:noFill/>
        <a:ln w="9360">
          <a:solidFill>
            <a:srgbClr val="0000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9525</xdr:colOff>
      <xdr:row>56</xdr:row>
      <xdr:rowOff>0</xdr:rowOff>
    </xdr:from>
    <xdr:to>
      <xdr:col>17</xdr:col>
      <xdr:colOff>9525</xdr:colOff>
      <xdr:row>58</xdr:row>
      <xdr:rowOff>123825</xdr:rowOff>
    </xdr:to>
    <xdr:pic>
      <xdr:nvPicPr>
        <xdr:cNvPr id="24591" name="Picture 122">
          <a:extLst>
            <a:ext uri="{FF2B5EF4-FFF2-40B4-BE49-F238E27FC236}">
              <a16:creationId xmlns:a16="http://schemas.microsoft.com/office/drawing/2014/main" id="{BDE19C1C-E6AC-4022-BDFD-0412A8FC1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7025" y="10887075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  <xdr:twoCellAnchor>
    <xdr:from>
      <xdr:col>0</xdr:col>
      <xdr:colOff>11907</xdr:colOff>
      <xdr:row>25</xdr:row>
      <xdr:rowOff>11907</xdr:rowOff>
    </xdr:from>
    <xdr:to>
      <xdr:col>14</xdr:col>
      <xdr:colOff>428626</xdr:colOff>
      <xdr:row>62</xdr:row>
      <xdr:rowOff>59532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/>
      </xdr:nvSpPr>
      <xdr:spPr>
        <a:xfrm>
          <a:off x="11907" y="4929188"/>
          <a:ext cx="9144000" cy="72390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0</xdr:col>
      <xdr:colOff>19050</xdr:colOff>
      <xdr:row>7</xdr:row>
      <xdr:rowOff>38100</xdr:rowOff>
    </xdr:from>
    <xdr:to>
      <xdr:col>15</xdr:col>
      <xdr:colOff>209550</xdr:colOff>
      <xdr:row>9</xdr:row>
      <xdr:rowOff>114300</xdr:rowOff>
    </xdr:to>
    <xdr:pic>
      <xdr:nvPicPr>
        <xdr:cNvPr id="24593" name="Imagem 18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D8689FA2-4F56-4AAE-87E1-C717491B6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1533525"/>
          <a:ext cx="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12</xdr:row>
      <xdr:rowOff>133350</xdr:rowOff>
    </xdr:from>
    <xdr:to>
      <xdr:col>6</xdr:col>
      <xdr:colOff>0</xdr:colOff>
      <xdr:row>15</xdr:row>
      <xdr:rowOff>84957</xdr:rowOff>
    </xdr:to>
    <xdr:pic>
      <xdr:nvPicPr>
        <xdr:cNvPr id="3" name="Imagem 2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29125" y="29241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463539</xdr:colOff>
      <xdr:row>3</xdr:row>
      <xdr:rowOff>76200</xdr:rowOff>
    </xdr:from>
    <xdr:to>
      <xdr:col>7</xdr:col>
      <xdr:colOff>569902</xdr:colOff>
      <xdr:row>3</xdr:row>
      <xdr:rowOff>209550</xdr:rowOff>
    </xdr:to>
    <xdr:sp macro="" textlink="">
      <xdr:nvSpPr>
        <xdr:cNvPr id="2" name="Seta para a direita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>
          <a:spLocks noChangeArrowheads="1"/>
        </xdr:cNvSpPr>
      </xdr:nvSpPr>
      <xdr:spPr bwMode="auto">
        <a:xfrm>
          <a:off x="2916227" y="957263"/>
          <a:ext cx="852488" cy="133350"/>
        </a:xfrm>
        <a:prstGeom prst="rightArrow">
          <a:avLst>
            <a:gd name="adj1" fmla="val 50000"/>
            <a:gd name="adj2" fmla="val 49808"/>
          </a:avLst>
        </a:prstGeom>
        <a:ln>
          <a:headEnd/>
          <a:tailEnd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/>
        <a:lstStyle/>
        <a:p>
          <a:endParaRPr lang="pt-BR"/>
        </a:p>
      </xdr:txBody>
    </xdr:sp>
    <xdr:clientData/>
  </xdr:twoCellAnchor>
  <xdr:twoCellAnchor>
    <xdr:from>
      <xdr:col>6</xdr:col>
      <xdr:colOff>325430</xdr:colOff>
      <xdr:row>7</xdr:row>
      <xdr:rowOff>76200</xdr:rowOff>
    </xdr:from>
    <xdr:to>
      <xdr:col>7</xdr:col>
      <xdr:colOff>401630</xdr:colOff>
      <xdr:row>7</xdr:row>
      <xdr:rowOff>209550</xdr:rowOff>
    </xdr:to>
    <xdr:sp macro="" textlink="">
      <xdr:nvSpPr>
        <xdr:cNvPr id="3" name="Seta para a direita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>
          <a:spLocks noChangeArrowheads="1"/>
        </xdr:cNvSpPr>
      </xdr:nvSpPr>
      <xdr:spPr bwMode="auto">
        <a:xfrm>
          <a:off x="2778118" y="2132013"/>
          <a:ext cx="822325" cy="133350"/>
        </a:xfrm>
        <a:prstGeom prst="rightArrow">
          <a:avLst>
            <a:gd name="adj1" fmla="val 50000"/>
            <a:gd name="adj2" fmla="val 49430"/>
          </a:avLst>
        </a:prstGeom>
        <a:ln>
          <a:headEnd/>
          <a:tailEnd/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/>
        <a:lstStyle/>
        <a:p>
          <a:endParaRPr lang="pt-BR"/>
        </a:p>
      </xdr:txBody>
    </xdr:sp>
    <xdr:clientData/>
  </xdr:twoCellAnchor>
  <xdr:twoCellAnchor editAs="oneCell">
    <xdr:from>
      <xdr:col>9</xdr:col>
      <xdr:colOff>219075</xdr:colOff>
      <xdr:row>8</xdr:row>
      <xdr:rowOff>184150</xdr:rowOff>
    </xdr:from>
    <xdr:to>
      <xdr:col>13</xdr:col>
      <xdr:colOff>111125</xdr:colOff>
      <xdr:row>10</xdr:row>
      <xdr:rowOff>24632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43425" y="2546350"/>
          <a:ext cx="1377950" cy="43103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17</xdr:row>
      <xdr:rowOff>114300</xdr:rowOff>
    </xdr:from>
    <xdr:to>
      <xdr:col>11</xdr:col>
      <xdr:colOff>1</xdr:colOff>
      <xdr:row>17</xdr:row>
      <xdr:rowOff>114304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CxnSpPr/>
      </xdr:nvCxnSpPr>
      <xdr:spPr>
        <a:xfrm rot="10800000" flipV="1">
          <a:off x="2" y="2924175"/>
          <a:ext cx="6781799" cy="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133350</xdr:colOff>
      <xdr:row>1</xdr:row>
      <xdr:rowOff>0</xdr:rowOff>
    </xdr:from>
    <xdr:to>
      <xdr:col>15</xdr:col>
      <xdr:colOff>304800</xdr:colOff>
      <xdr:row>3</xdr:row>
      <xdr:rowOff>104007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15150" y="1905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>
    <xdr:from>
      <xdr:col>3</xdr:col>
      <xdr:colOff>104775</xdr:colOff>
      <xdr:row>23</xdr:row>
      <xdr:rowOff>180975</xdr:rowOff>
    </xdr:from>
    <xdr:to>
      <xdr:col>4</xdr:col>
      <xdr:colOff>171450</xdr:colOff>
      <xdr:row>27</xdr:row>
      <xdr:rowOff>0</xdr:rowOff>
    </xdr:to>
    <xdr:sp macro="" textlink="">
      <xdr:nvSpPr>
        <xdr:cNvPr id="5" name="Rosca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1933575" y="4844415"/>
          <a:ext cx="676275" cy="710565"/>
        </a:xfrm>
        <a:prstGeom prst="donut">
          <a:avLst>
            <a:gd name="adj" fmla="val 279"/>
          </a:avLst>
        </a:prstGeom>
        <a:ln w="6350"/>
        <a:scene3d>
          <a:camera prst="isometricLeftDown">
            <a:rot lat="1218828" lon="794496" rev="20581851"/>
          </a:camera>
          <a:lightRig rig="threePt" dir="t"/>
        </a:scene3d>
        <a:sp3d extrusionH="11366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3</xdr:col>
      <xdr:colOff>85726</xdr:colOff>
      <xdr:row>21</xdr:row>
      <xdr:rowOff>85725</xdr:rowOff>
    </xdr:from>
    <xdr:to>
      <xdr:col>3</xdr:col>
      <xdr:colOff>85726</xdr:colOff>
      <xdr:row>24</xdr:row>
      <xdr:rowOff>180975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CxnSpPr/>
      </xdr:nvCxnSpPr>
      <xdr:spPr>
        <a:xfrm rot="5400000" flipH="1" flipV="1">
          <a:off x="1500188" y="4643438"/>
          <a:ext cx="828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21</xdr:row>
      <xdr:rowOff>95251</xdr:rowOff>
    </xdr:from>
    <xdr:to>
      <xdr:col>4</xdr:col>
      <xdr:colOff>171450</xdr:colOff>
      <xdr:row>25</xdr:row>
      <xdr:rowOff>86678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CxnSpPr>
          <a:stCxn id="5" idx="6"/>
        </xdr:cNvCxnSpPr>
      </xdr:nvCxnSpPr>
      <xdr:spPr>
        <a:xfrm flipV="1">
          <a:off x="2609850" y="4271011"/>
          <a:ext cx="0" cy="9286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22</xdr:row>
      <xdr:rowOff>38100</xdr:rowOff>
    </xdr:from>
    <xdr:to>
      <xdr:col>4</xdr:col>
      <xdr:colOff>171450</xdr:colOff>
      <xdr:row>22</xdr:row>
      <xdr:rowOff>38100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CxnSpPr/>
      </xdr:nvCxnSpPr>
      <xdr:spPr>
        <a:xfrm flipV="1">
          <a:off x="1924050" y="4429125"/>
          <a:ext cx="685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511865</xdr:colOff>
      <xdr:row>3</xdr:row>
      <xdr:rowOff>158198</xdr:rowOff>
    </xdr:from>
    <xdr:to>
      <xdr:col>15</xdr:col>
      <xdr:colOff>1309066</xdr:colOff>
      <xdr:row>13</xdr:row>
      <xdr:rowOff>120098</xdr:rowOff>
    </xdr:to>
    <xdr:pic>
      <xdr:nvPicPr>
        <xdr:cNvPr id="27655" name="Picture 2">
          <a:extLst>
            <a:ext uri="{FF2B5EF4-FFF2-40B4-BE49-F238E27FC236}">
              <a16:creationId xmlns:a16="http://schemas.microsoft.com/office/drawing/2014/main" id="{DA6F0B3C-DD0F-41E1-8F29-B9979EF3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8452" y="688285"/>
          <a:ext cx="2023027" cy="22230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14</xdr:col>
      <xdr:colOff>78714</xdr:colOff>
      <xdr:row>19</xdr:row>
      <xdr:rowOff>164566</xdr:rowOff>
    </xdr:from>
    <xdr:ext cx="3029805" cy="311496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/>
      </xdr:nvSpPr>
      <xdr:spPr>
        <a:xfrm>
          <a:off x="7508214" y="3949718"/>
          <a:ext cx="3029805" cy="31149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CONSIDERADO 20% PERDA PROCESSO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47625</xdr:rowOff>
    </xdr:from>
    <xdr:to>
      <xdr:col>12</xdr:col>
      <xdr:colOff>190500</xdr:colOff>
      <xdr:row>21</xdr:row>
      <xdr:rowOff>114300</xdr:rowOff>
    </xdr:to>
    <xdr:pic>
      <xdr:nvPicPr>
        <xdr:cNvPr id="28673" name="Imagem 1" descr="FASE 01.bmp">
          <a:extLst>
            <a:ext uri="{FF2B5EF4-FFF2-40B4-BE49-F238E27FC236}">
              <a16:creationId xmlns:a16="http://schemas.microsoft.com/office/drawing/2014/main" id="{F46A737D-1FA9-497D-92A0-E4D31DA6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7625"/>
          <a:ext cx="7429500" cy="406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323850</xdr:colOff>
      <xdr:row>9</xdr:row>
      <xdr:rowOff>47625</xdr:rowOff>
    </xdr:from>
    <xdr:to>
      <xdr:col>13</xdr:col>
      <xdr:colOff>190500</xdr:colOff>
      <xdr:row>11</xdr:row>
      <xdr:rowOff>142875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7639050" y="1762125"/>
          <a:ext cx="476250" cy="476250"/>
        </a:xfrm>
        <a:prstGeom prst="rightArrow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13</xdr:col>
      <xdr:colOff>295275</xdr:colOff>
      <xdr:row>0</xdr:row>
      <xdr:rowOff>38100</xdr:rowOff>
    </xdr:from>
    <xdr:to>
      <xdr:col>21</xdr:col>
      <xdr:colOff>19050</xdr:colOff>
      <xdr:row>21</xdr:row>
      <xdr:rowOff>104775</xdr:rowOff>
    </xdr:to>
    <xdr:pic>
      <xdr:nvPicPr>
        <xdr:cNvPr id="28675" name="Imagem 3" descr="FASE 02.bmp">
          <a:extLst>
            <a:ext uri="{FF2B5EF4-FFF2-40B4-BE49-F238E27FC236}">
              <a16:creationId xmlns:a16="http://schemas.microsoft.com/office/drawing/2014/main" id="{70E60156-6695-4D67-B4BC-1032B5AD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38100"/>
          <a:ext cx="4600575" cy="406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409575</xdr:colOff>
      <xdr:row>23</xdr:row>
      <xdr:rowOff>47625</xdr:rowOff>
    </xdr:from>
    <xdr:to>
      <xdr:col>20</xdr:col>
      <xdr:colOff>581025</xdr:colOff>
      <xdr:row>25</xdr:row>
      <xdr:rowOff>104775</xdr:rowOff>
    </xdr:to>
    <xdr:pic>
      <xdr:nvPicPr>
        <xdr:cNvPr id="28676" name="Imagem 4" descr="botao_voltar (2).gif">
          <a:hlinkClick xmlns:r="http://schemas.openxmlformats.org/officeDocument/2006/relationships" r:id="rId3" tooltip="Clique aqui para voltar ao menu principal"/>
          <a:extLst>
            <a:ext uri="{FF2B5EF4-FFF2-40B4-BE49-F238E27FC236}">
              <a16:creationId xmlns:a16="http://schemas.microsoft.com/office/drawing/2014/main" id="{459F07B0-465C-4519-A268-D20B3BFF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82375" y="4476750"/>
          <a:ext cx="13906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66675</xdr:rowOff>
    </xdr:from>
    <xdr:to>
      <xdr:col>3</xdr:col>
      <xdr:colOff>428625</xdr:colOff>
      <xdr:row>2</xdr:row>
      <xdr:rowOff>123057</xdr:rowOff>
    </xdr:to>
    <xdr:pic>
      <xdr:nvPicPr>
        <xdr:cNvPr id="2" name="Imagem 1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86050" y="666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933450</xdr:colOff>
      <xdr:row>2</xdr:row>
      <xdr:rowOff>85725</xdr:rowOff>
    </xdr:from>
    <xdr:to>
      <xdr:col>11</xdr:col>
      <xdr:colOff>800100</xdr:colOff>
      <xdr:row>10</xdr:row>
      <xdr:rowOff>0</xdr:rowOff>
    </xdr:to>
    <xdr:pic>
      <xdr:nvPicPr>
        <xdr:cNvPr id="30721" name="Imagem 1" descr="50i_perfil_t.jpg">
          <a:extLst>
            <a:ext uri="{FF2B5EF4-FFF2-40B4-BE49-F238E27FC236}">
              <a16:creationId xmlns:a16="http://schemas.microsoft.com/office/drawing/2014/main" id="{7381AAEB-FA0C-4306-980E-37F261F7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457200"/>
          <a:ext cx="2085975" cy="143827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133350</xdr:colOff>
      <xdr:row>2</xdr:row>
      <xdr:rowOff>142875</xdr:rowOff>
    </xdr:from>
    <xdr:to>
      <xdr:col>12</xdr:col>
      <xdr:colOff>1028700</xdr:colOff>
      <xdr:row>9</xdr:row>
      <xdr:rowOff>114300</xdr:rowOff>
    </xdr:to>
    <xdr:pic>
      <xdr:nvPicPr>
        <xdr:cNvPr id="30722" name="Imagem 2" descr="20110104170020H2j8eCWJQd.gif">
          <a:extLst>
            <a:ext uri="{FF2B5EF4-FFF2-40B4-BE49-F238E27FC236}">
              <a16:creationId xmlns:a16="http://schemas.microsoft.com/office/drawing/2014/main" id="{7E1B7D07-CAFD-40C5-B98E-910297CC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514350"/>
          <a:ext cx="895350" cy="13049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771525</xdr:colOff>
      <xdr:row>14</xdr:row>
      <xdr:rowOff>85725</xdr:rowOff>
    </xdr:from>
    <xdr:to>
      <xdr:col>14</xdr:col>
      <xdr:colOff>0</xdr:colOff>
      <xdr:row>17</xdr:row>
      <xdr:rowOff>37332</xdr:rowOff>
    </xdr:to>
    <xdr:pic>
      <xdr:nvPicPr>
        <xdr:cNvPr id="4" name="Imagem 3" descr="botao_voltar (2).gif">
          <a:hlinkClick xmlns:r="http://schemas.openxmlformats.org/officeDocument/2006/relationships" r:id="rId3" tooltip="Clique aqui para voltar ao menu principal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86950" y="28575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638175</xdr:colOff>
      <xdr:row>2</xdr:row>
      <xdr:rowOff>133350</xdr:rowOff>
    </xdr:from>
    <xdr:to>
      <xdr:col>13</xdr:col>
      <xdr:colOff>219075</xdr:colOff>
      <xdr:row>10</xdr:row>
      <xdr:rowOff>28575</xdr:rowOff>
    </xdr:to>
    <xdr:pic>
      <xdr:nvPicPr>
        <xdr:cNvPr id="31745" name="Picture 2">
          <a:extLst>
            <a:ext uri="{FF2B5EF4-FFF2-40B4-BE49-F238E27FC236}">
              <a16:creationId xmlns:a16="http://schemas.microsoft.com/office/drawing/2014/main" id="{342E752B-4C1A-487C-95EE-2376A824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581025"/>
          <a:ext cx="1638300" cy="14192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752475</xdr:colOff>
      <xdr:row>14</xdr:row>
      <xdr:rowOff>104775</xdr:rowOff>
    </xdr:from>
    <xdr:to>
      <xdr:col>14</xdr:col>
      <xdr:colOff>1038225</xdr:colOff>
      <xdr:row>16</xdr:row>
      <xdr:rowOff>161157</xdr:rowOff>
    </xdr:to>
    <xdr:pic>
      <xdr:nvPicPr>
        <xdr:cNvPr id="3" name="Imagem 2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410700" y="295275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704850</xdr:colOff>
      <xdr:row>2</xdr:row>
      <xdr:rowOff>133350</xdr:rowOff>
    </xdr:from>
    <xdr:to>
      <xdr:col>13</xdr:col>
      <xdr:colOff>238125</xdr:colOff>
      <xdr:row>10</xdr:row>
      <xdr:rowOff>28575</xdr:rowOff>
    </xdr:to>
    <xdr:pic>
      <xdr:nvPicPr>
        <xdr:cNvPr id="32769" name="Picture 2">
          <a:extLst>
            <a:ext uri="{FF2B5EF4-FFF2-40B4-BE49-F238E27FC236}">
              <a16:creationId xmlns:a16="http://schemas.microsoft.com/office/drawing/2014/main" id="{AB6D50F6-4A78-4C10-A54C-474FE06B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85800"/>
          <a:ext cx="1390650" cy="1409700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781050</xdr:colOff>
      <xdr:row>14</xdr:row>
      <xdr:rowOff>66675</xdr:rowOff>
    </xdr:from>
    <xdr:to>
      <xdr:col>15</xdr:col>
      <xdr:colOff>9525</xdr:colOff>
      <xdr:row>16</xdr:row>
      <xdr:rowOff>123057</xdr:rowOff>
    </xdr:to>
    <xdr:pic>
      <xdr:nvPicPr>
        <xdr:cNvPr id="3" name="Imagem 2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382125" y="30099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1038225</xdr:colOff>
      <xdr:row>2</xdr:row>
      <xdr:rowOff>19050</xdr:rowOff>
    </xdr:from>
    <xdr:to>
      <xdr:col>4</xdr:col>
      <xdr:colOff>1200150</xdr:colOff>
      <xdr:row>10</xdr:row>
      <xdr:rowOff>66675</xdr:rowOff>
    </xdr:to>
    <xdr:pic>
      <xdr:nvPicPr>
        <xdr:cNvPr id="33793" name="Imagem 1" descr="desenho_ferro_cantoneira_mod.jpg">
          <a:extLst>
            <a:ext uri="{FF2B5EF4-FFF2-40B4-BE49-F238E27FC236}">
              <a16:creationId xmlns:a16="http://schemas.microsoft.com/office/drawing/2014/main" id="{024A6881-3D6A-497C-84DD-7616D290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361950"/>
          <a:ext cx="1495425" cy="13430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</xdr:colOff>
      <xdr:row>1</xdr:row>
      <xdr:rowOff>142875</xdr:rowOff>
    </xdr:from>
    <xdr:to>
      <xdr:col>3</xdr:col>
      <xdr:colOff>638175</xdr:colOff>
      <xdr:row>10</xdr:row>
      <xdr:rowOff>104775</xdr:rowOff>
    </xdr:to>
    <xdr:pic>
      <xdr:nvPicPr>
        <xdr:cNvPr id="33794" name="Imagem 2" descr="49i_cantoneira_de_abas_iguais.jpg">
          <a:extLst>
            <a:ext uri="{FF2B5EF4-FFF2-40B4-BE49-F238E27FC236}">
              <a16:creationId xmlns:a16="http://schemas.microsoft.com/office/drawing/2014/main" id="{D47CF872-8400-4519-92D6-14BD0BF13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323850"/>
          <a:ext cx="2066925" cy="1419225"/>
        </a:xfrm>
        <a:prstGeom prst="rect">
          <a:avLst/>
        </a:prstGeom>
        <a:noFill/>
        <a:ln w="31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1152525</xdr:colOff>
      <xdr:row>14</xdr:row>
      <xdr:rowOff>57150</xdr:rowOff>
    </xdr:from>
    <xdr:to>
      <xdr:col>6</xdr:col>
      <xdr:colOff>0</xdr:colOff>
      <xdr:row>17</xdr:row>
      <xdr:rowOff>8757</xdr:rowOff>
    </xdr:to>
    <xdr:pic>
      <xdr:nvPicPr>
        <xdr:cNvPr id="4" name="Imagem 3" descr="botao_voltar (2).gif">
          <a:hlinkClick xmlns:r="http://schemas.openxmlformats.org/officeDocument/2006/relationships" r:id="rId3" tooltip="Clique aqui para voltar ao menu principal"/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029325" y="251460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</xdr:row>
      <xdr:rowOff>133350</xdr:rowOff>
    </xdr:from>
    <xdr:to>
      <xdr:col>8</xdr:col>
      <xdr:colOff>495299</xdr:colOff>
      <xdr:row>25</xdr:row>
      <xdr:rowOff>142874</xdr:rowOff>
    </xdr:to>
    <xdr:grpSp>
      <xdr:nvGrpSpPr>
        <xdr:cNvPr id="21" name="Grupo 1">
          <a:extLst>
            <a:ext uri="{FF2B5EF4-FFF2-40B4-BE49-F238E27FC236}">
              <a16:creationId xmlns:a16="http://schemas.microsoft.com/office/drawing/2014/main" id="{832D5E64-2481-41F7-AD57-10A4814B5255}"/>
            </a:ext>
          </a:extLst>
        </xdr:cNvPr>
        <xdr:cNvGrpSpPr/>
      </xdr:nvGrpSpPr>
      <xdr:grpSpPr>
        <a:xfrm>
          <a:off x="9524" y="314325"/>
          <a:ext cx="5362575" cy="4057649"/>
          <a:chOff x="1962150" y="504825"/>
          <a:chExt cx="4405447" cy="3076574"/>
        </a:xfrm>
        <a:noFill/>
      </xdr:grpSpPr>
      <xdr:grpSp>
        <xdr:nvGrpSpPr>
          <xdr:cNvPr id="20" name="Grupo 12">
            <a:extLst>
              <a:ext uri="{FF2B5EF4-FFF2-40B4-BE49-F238E27FC236}">
                <a16:creationId xmlns:a16="http://schemas.microsoft.com/office/drawing/2014/main" id="{2CE997D4-B508-48E7-9775-7521D78B9247}"/>
              </a:ext>
            </a:extLst>
          </xdr:cNvPr>
          <xdr:cNvGrpSpPr/>
        </xdr:nvGrpSpPr>
        <xdr:grpSpPr>
          <a:xfrm>
            <a:off x="1962151" y="504825"/>
            <a:ext cx="4405447" cy="3076575"/>
            <a:chOff x="1962150" y="504825"/>
            <a:chExt cx="4405447" cy="3076574"/>
          </a:xfrm>
          <a:grpFill/>
        </xdr:grpSpPr>
        <xdr:grpSp>
          <xdr:nvGrpSpPr>
            <xdr:cNvPr id="19" name="Grupo 11">
              <a:extLst>
                <a:ext uri="{FF2B5EF4-FFF2-40B4-BE49-F238E27FC236}">
                  <a16:creationId xmlns:a16="http://schemas.microsoft.com/office/drawing/2014/main" id="{B137AC74-383A-4662-8252-3F4E1F3C1D59}"/>
                </a:ext>
              </a:extLst>
            </xdr:cNvPr>
            <xdr:cNvGrpSpPr/>
          </xdr:nvGrpSpPr>
          <xdr:grpSpPr>
            <a:xfrm>
              <a:off x="1962150" y="504825"/>
              <a:ext cx="4405447" cy="3076574"/>
              <a:chOff x="1962150" y="504825"/>
              <a:chExt cx="4405447" cy="3076574"/>
            </a:xfrm>
            <a:grpFill/>
          </xdr:grpSpPr>
          <xdr:grpSp>
            <xdr:nvGrpSpPr>
              <xdr:cNvPr id="18" name="Grupo 6">
                <a:extLst>
                  <a:ext uri="{FF2B5EF4-FFF2-40B4-BE49-F238E27FC236}">
                    <a16:creationId xmlns:a16="http://schemas.microsoft.com/office/drawing/2014/main" id="{F00C4A73-F540-4184-AF53-844CEE21BA8C}"/>
                  </a:ext>
                </a:extLst>
              </xdr:cNvPr>
              <xdr:cNvGrpSpPr/>
            </xdr:nvGrpSpPr>
            <xdr:grpSpPr>
              <a:xfrm>
                <a:off x="1962150" y="504825"/>
                <a:ext cx="4405447" cy="3076574"/>
                <a:chOff x="1962150" y="504825"/>
                <a:chExt cx="4405447" cy="3076574"/>
              </a:xfrm>
              <a:grpFill/>
            </xdr:grpSpPr>
            <xdr:pic>
              <xdr:nvPicPr>
                <xdr:cNvPr id="9" name="Imagem 2" descr="Modelo.bmp">
                  <a:extLst>
                    <a:ext uri="{FF2B5EF4-FFF2-40B4-BE49-F238E27FC236}">
                      <a16:creationId xmlns:a16="http://schemas.microsoft.com/office/drawing/2014/main" id="{00000000-0008-0000-2100-000009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 cstate="print"/>
                <a:stretch>
                  <a:fillRect/>
                </a:stretch>
              </xdr:blipFill>
              <xdr:spPr>
                <a:xfrm>
                  <a:off x="1962150" y="504825"/>
                  <a:ext cx="4405447" cy="3076574"/>
                </a:xfrm>
                <a:prstGeom prst="rect">
                  <a:avLst/>
                </a:prstGeom>
                <a:grpFill/>
              </xdr:spPr>
            </xdr:pic>
            <xdr:sp macro="" textlink="">
              <xdr:nvSpPr>
                <xdr:cNvPr id="10" name="CaixaDeTexto 9">
                  <a:extLst>
                    <a:ext uri="{FF2B5EF4-FFF2-40B4-BE49-F238E27FC236}">
                      <a16:creationId xmlns:a16="http://schemas.microsoft.com/office/drawing/2014/main" id="{00000000-0008-0000-2100-00000A000000}"/>
                    </a:ext>
                  </a:extLst>
                </xdr:cNvPr>
                <xdr:cNvSpPr txBox="1"/>
              </xdr:nvSpPr>
              <xdr:spPr>
                <a:xfrm>
                  <a:off x="5146905" y="3220299"/>
                  <a:ext cx="438197" cy="64998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r>
                    <a:rPr lang="pt-BR" sz="1100"/>
                    <a:t>b</a:t>
                  </a:r>
                </a:p>
              </xdr:txBody>
            </xdr:sp>
            <xdr:sp macro="" textlink="">
              <xdr:nvSpPr>
                <xdr:cNvPr id="11" name="CaixaDeTexto 10">
                  <a:extLst>
                    <a:ext uri="{FF2B5EF4-FFF2-40B4-BE49-F238E27FC236}">
                      <a16:creationId xmlns:a16="http://schemas.microsoft.com/office/drawing/2014/main" id="{00000000-0008-0000-2100-00000B000000}"/>
                    </a:ext>
                  </a:extLst>
                </xdr:cNvPr>
                <xdr:cNvSpPr txBox="1"/>
              </xdr:nvSpPr>
              <xdr:spPr>
                <a:xfrm rot="16200000">
                  <a:off x="3495257" y="1800559"/>
                  <a:ext cx="267214" cy="203449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r>
                    <a:rPr lang="pt-BR" sz="1100"/>
                    <a:t>a</a:t>
                  </a:r>
                </a:p>
              </xdr:txBody>
            </xdr:sp>
          </xdr:grpSp>
          <xdr:sp macro="" textlink="">
            <xdr:nvSpPr>
              <xdr:cNvPr id="8" name="CaixaDeTexto 7">
                <a:extLst>
                  <a:ext uri="{FF2B5EF4-FFF2-40B4-BE49-F238E27FC236}">
                    <a16:creationId xmlns:a16="http://schemas.microsoft.com/office/drawing/2014/main" id="{00000000-0008-0000-2100-000008000000}"/>
                  </a:ext>
                </a:extLst>
              </xdr:cNvPr>
              <xdr:cNvSpPr txBox="1"/>
            </xdr:nvSpPr>
            <xdr:spPr>
              <a:xfrm rot="18918785">
                <a:off x="4724357" y="1949226"/>
                <a:ext cx="696421" cy="592204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/>
              <a:lstStyle/>
              <a:p>
                <a:r>
                  <a:rPr lang="pt-BR" sz="1100"/>
                  <a:t>raio</a:t>
                </a:r>
              </a:p>
            </xdr:txBody>
          </xdr:sp>
        </xdr:grpSp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00000000-0008-0000-2100-000006000000}"/>
                </a:ext>
              </a:extLst>
            </xdr:cNvPr>
            <xdr:cNvSpPr txBox="1"/>
          </xdr:nvSpPr>
          <xdr:spPr>
            <a:xfrm rot="18586299">
              <a:off x="2277606" y="1382286"/>
              <a:ext cx="714978" cy="187799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r>
                <a:rPr lang="pt-BR" sz="1100"/>
                <a:t>ângulo</a:t>
              </a:r>
            </a:p>
          </xdr:txBody>
        </xdr:sp>
      </xdr:grp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SpPr txBox="1"/>
        </xdr:nvSpPr>
        <xdr:spPr>
          <a:xfrm>
            <a:off x="4200087" y="512047"/>
            <a:ext cx="790320" cy="75831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pt-BR" sz="1100"/>
              <a:t>e</a:t>
            </a:r>
          </a:p>
        </xdr:txBody>
      </xdr:sp>
    </xdr:grpSp>
    <xdr:clientData/>
  </xdr:twoCellAnchor>
  <xdr:twoCellAnchor>
    <xdr:from>
      <xdr:col>9</xdr:col>
      <xdr:colOff>28575</xdr:colOff>
      <xdr:row>8</xdr:row>
      <xdr:rowOff>85725</xdr:rowOff>
    </xdr:from>
    <xdr:to>
      <xdr:col>15</xdr:col>
      <xdr:colOff>0</xdr:colOff>
      <xdr:row>12</xdr:row>
      <xdr:rowOff>114300</xdr:rowOff>
    </xdr:to>
    <xdr:grpSp>
      <xdr:nvGrpSpPr>
        <xdr:cNvPr id="34818" name="Grupo 16">
          <a:extLst>
            <a:ext uri="{FF2B5EF4-FFF2-40B4-BE49-F238E27FC236}">
              <a16:creationId xmlns:a16="http://schemas.microsoft.com/office/drawing/2014/main" id="{7A10B52E-8D22-420A-811A-867813C82757}"/>
            </a:ext>
          </a:extLst>
        </xdr:cNvPr>
        <xdr:cNvGrpSpPr>
          <a:grpSpLocks/>
        </xdr:cNvGrpSpPr>
      </xdr:nvGrpSpPr>
      <xdr:grpSpPr bwMode="auto">
        <a:xfrm>
          <a:off x="5514975" y="1457325"/>
          <a:ext cx="6791325" cy="676275"/>
          <a:chOff x="5514975" y="1457327"/>
          <a:chExt cx="6791326" cy="676273"/>
        </a:xfrm>
      </xdr:grpSpPr>
      <xdr:sp macro="[0]!Plan31.quatro" textlink="">
        <xdr:nvSpPr>
          <xdr:cNvPr id="13" name="Retângulo de cantos arredondados 12">
            <a:extLst>
              <a:ext uri="{FF2B5EF4-FFF2-40B4-BE49-F238E27FC236}">
                <a16:creationId xmlns:a16="http://schemas.microsoft.com/office/drawing/2014/main" id="{00000000-0008-0000-2100-00000D000000}"/>
              </a:ext>
            </a:extLst>
          </xdr:cNvPr>
          <xdr:cNvSpPr/>
        </xdr:nvSpPr>
        <xdr:spPr>
          <a:xfrm>
            <a:off x="5514975" y="1457327"/>
            <a:ext cx="6791326" cy="190499"/>
          </a:xfrm>
          <a:prstGeom prst="roundRect">
            <a:avLst/>
          </a:prstGeom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100">
                <a:latin typeface="+mn-lt"/>
              </a:rPr>
              <a:t>Quando o raio interno for, menor, que a espessura do material.</a:t>
            </a:r>
          </a:p>
        </xdr:txBody>
      </xdr:sp>
      <xdr:sp macro="[0]!Plan31.tres" textlink="">
        <xdr:nvSpPr>
          <xdr:cNvPr id="14" name="Retângulo de cantos arredondados 13">
            <a:extLst>
              <a:ext uri="{FF2B5EF4-FFF2-40B4-BE49-F238E27FC236}">
                <a16:creationId xmlns:a16="http://schemas.microsoft.com/office/drawing/2014/main" id="{00000000-0008-0000-2100-00000E000000}"/>
              </a:ext>
            </a:extLst>
          </xdr:cNvPr>
          <xdr:cNvSpPr/>
        </xdr:nvSpPr>
        <xdr:spPr>
          <a:xfrm>
            <a:off x="5514975" y="1704976"/>
            <a:ext cx="6791326" cy="180974"/>
          </a:xfrm>
          <a:prstGeom prst="roundRect">
            <a:avLst/>
          </a:prstGeom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100">
                <a:latin typeface="+mn-lt"/>
              </a:rPr>
              <a:t>Quando o raio interno, for de uma a duas vezes, a espessura do material.</a:t>
            </a:r>
          </a:p>
        </xdr:txBody>
      </xdr:sp>
      <xdr:sp macro="[0]!Plan31.dois" textlink="">
        <xdr:nvSpPr>
          <xdr:cNvPr id="15" name="Retângulo de cantos arredondados 14">
            <a:extLst>
              <a:ext uri="{FF2B5EF4-FFF2-40B4-BE49-F238E27FC236}">
                <a16:creationId xmlns:a16="http://schemas.microsoft.com/office/drawing/2014/main" id="{00000000-0008-0000-2100-00000F000000}"/>
              </a:ext>
            </a:extLst>
          </xdr:cNvPr>
          <xdr:cNvSpPr/>
        </xdr:nvSpPr>
        <xdr:spPr>
          <a:xfrm>
            <a:off x="5514975" y="1943101"/>
            <a:ext cx="6791326" cy="190499"/>
          </a:xfrm>
          <a:prstGeom prst="roundRect">
            <a:avLst/>
          </a:prstGeom>
        </xdr:spPr>
        <xdr:style>
          <a:lnRef idx="0">
            <a:schemeClr val="accent1"/>
          </a:lnRef>
          <a:fillRef idx="3">
            <a:schemeClr val="accent1"/>
          </a:fillRef>
          <a:effectRef idx="3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100">
                <a:latin typeface="+mn-lt"/>
              </a:rPr>
              <a:t>Quando o raio interno for, maior que o dobro da espessura do material.</a:t>
            </a:r>
          </a:p>
        </xdr:txBody>
      </xdr:sp>
    </xdr:grpSp>
    <xdr:clientData/>
  </xdr:twoCellAnchor>
  <xdr:twoCellAnchor editAs="oneCell">
    <xdr:from>
      <xdr:col>14</xdr:col>
      <xdr:colOff>85725</xdr:colOff>
      <xdr:row>23</xdr:row>
      <xdr:rowOff>76200</xdr:rowOff>
    </xdr:from>
    <xdr:to>
      <xdr:col>15</xdr:col>
      <xdr:colOff>9525</xdr:colOff>
      <xdr:row>26</xdr:row>
      <xdr:rowOff>27807</xdr:rowOff>
    </xdr:to>
    <xdr:pic>
      <xdr:nvPicPr>
        <xdr:cNvPr id="16" name="Imagem 15" descr="botao_voltar (2).gif">
          <a:hlinkClick xmlns:r="http://schemas.openxmlformats.org/officeDocument/2006/relationships" r:id="rId2" tooltip="Clique aqui para voltar ao menu principal"/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925175" y="3981450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1162050</xdr:colOff>
      <xdr:row>16</xdr:row>
      <xdr:rowOff>47625</xdr:rowOff>
    </xdr:from>
    <xdr:to>
      <xdr:col>5</xdr:col>
      <xdr:colOff>9525</xdr:colOff>
      <xdr:row>18</xdr:row>
      <xdr:rowOff>161157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5350" y="300037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 editAs="oneCell">
    <xdr:from>
      <xdr:col>2</xdr:col>
      <xdr:colOff>247650</xdr:colOff>
      <xdr:row>1</xdr:row>
      <xdr:rowOff>114300</xdr:rowOff>
    </xdr:from>
    <xdr:to>
      <xdr:col>3</xdr:col>
      <xdr:colOff>828675</xdr:colOff>
      <xdr:row>11</xdr:row>
      <xdr:rowOff>28575</xdr:rowOff>
    </xdr:to>
    <xdr:pic>
      <xdr:nvPicPr>
        <xdr:cNvPr id="35842" name="Picture 4">
          <a:extLst>
            <a:ext uri="{FF2B5EF4-FFF2-40B4-BE49-F238E27FC236}">
              <a16:creationId xmlns:a16="http://schemas.microsoft.com/office/drawing/2014/main" id="{BC9ACEF5-ABEF-4D76-AB9F-FA01E928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295275"/>
          <a:ext cx="2047875" cy="15335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265</xdr:col>
      <xdr:colOff>1171575</xdr:colOff>
      <xdr:row>65</xdr:row>
      <xdr:rowOff>19051</xdr:rowOff>
    </xdr:from>
    <xdr:to>
      <xdr:col>267</xdr:col>
      <xdr:colOff>0</xdr:colOff>
      <xdr:row>66</xdr:row>
      <xdr:rowOff>131124</xdr:rowOff>
    </xdr:to>
    <xdr:pic>
      <xdr:nvPicPr>
        <xdr:cNvPr id="2" name="Imagem 1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477625" y="4781551"/>
          <a:ext cx="962025" cy="302573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 editAs="oneCell">
    <xdr:from>
      <xdr:col>22</xdr:col>
      <xdr:colOff>942975</xdr:colOff>
      <xdr:row>65</xdr:row>
      <xdr:rowOff>19050</xdr:rowOff>
    </xdr:from>
    <xdr:to>
      <xdr:col>23</xdr:col>
      <xdr:colOff>0</xdr:colOff>
      <xdr:row>69</xdr:row>
      <xdr:rowOff>19050</xdr:rowOff>
    </xdr:to>
    <xdr:pic>
      <xdr:nvPicPr>
        <xdr:cNvPr id="4" name="Imagem 3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46CECAE9-373D-439D-A14A-130238AD9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972800" y="4781550"/>
          <a:ext cx="1190625" cy="381000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114300</xdr:rowOff>
    </xdr:from>
    <xdr:to>
      <xdr:col>1</xdr:col>
      <xdr:colOff>9525</xdr:colOff>
      <xdr:row>2</xdr:row>
      <xdr:rowOff>85725</xdr:rowOff>
    </xdr:to>
    <xdr:sp macro="" textlink="" fLocksText="0">
      <xdr:nvSpPr>
        <xdr:cNvPr id="8" name="Text Box 6">
          <a:extLst>
            <a:ext uri="{FF2B5EF4-FFF2-40B4-BE49-F238E27FC236}">
              <a16:creationId xmlns:a16="http://schemas.microsoft.com/office/drawing/2014/main" id="{1EED7B1A-C4DF-40FD-A7B0-712D9AA68595}"/>
            </a:ext>
          </a:extLst>
        </xdr:cNvPr>
        <xdr:cNvSpPr txBox="1">
          <a:spLocks noChangeArrowheads="1"/>
        </xdr:cNvSpPr>
      </xdr:nvSpPr>
      <xdr:spPr bwMode="auto">
        <a:xfrm>
          <a:off x="104775" y="114300"/>
          <a:ext cx="1485900" cy="428625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ctr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Selecionar </a:t>
          </a:r>
        </a:p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Espessura</a:t>
          </a:r>
        </a:p>
      </xdr:txBody>
    </xdr:sp>
    <xdr:clientData/>
  </xdr:twoCellAnchor>
  <xdr:twoCellAnchor>
    <xdr:from>
      <xdr:col>9</xdr:col>
      <xdr:colOff>219075</xdr:colOff>
      <xdr:row>0</xdr:row>
      <xdr:rowOff>209550</xdr:rowOff>
    </xdr:from>
    <xdr:to>
      <xdr:col>11</xdr:col>
      <xdr:colOff>466725</xdr:colOff>
      <xdr:row>2</xdr:row>
      <xdr:rowOff>0</xdr:rowOff>
    </xdr:to>
    <xdr:sp macro="" textlink="" fLocksText="0">
      <xdr:nvSpPr>
        <xdr:cNvPr id="9" name="Text Box 8">
          <a:extLst>
            <a:ext uri="{FF2B5EF4-FFF2-40B4-BE49-F238E27FC236}">
              <a16:creationId xmlns:a16="http://schemas.microsoft.com/office/drawing/2014/main" id="{91F6F04A-8B90-4C99-A127-04AABF46B88B}"/>
            </a:ext>
          </a:extLst>
        </xdr:cNvPr>
        <xdr:cNvSpPr txBox="1">
          <a:spLocks noChangeArrowheads="1"/>
        </xdr:cNvSpPr>
      </xdr:nvSpPr>
      <xdr:spPr bwMode="auto">
        <a:xfrm>
          <a:off x="603885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Furação 1</a:t>
          </a:r>
        </a:p>
      </xdr:txBody>
    </xdr:sp>
    <xdr:clientData/>
  </xdr:twoCellAnchor>
  <xdr:twoCellAnchor>
    <xdr:from>
      <xdr:col>2</xdr:col>
      <xdr:colOff>342900</xdr:colOff>
      <xdr:row>0</xdr:row>
      <xdr:rowOff>104775</xdr:rowOff>
    </xdr:from>
    <xdr:to>
      <xdr:col>7</xdr:col>
      <xdr:colOff>152400</xdr:colOff>
      <xdr:row>2</xdr:row>
      <xdr:rowOff>123825</xdr:rowOff>
    </xdr:to>
    <xdr:sp macro="" textlink="" fLocksText="0">
      <xdr:nvSpPr>
        <xdr:cNvPr id="10" name="Text Box 12">
          <a:extLst>
            <a:ext uri="{FF2B5EF4-FFF2-40B4-BE49-F238E27FC236}">
              <a16:creationId xmlns:a16="http://schemas.microsoft.com/office/drawing/2014/main" id="{55FDF94C-17CB-4395-B298-100C52B28A2B}"/>
            </a:ext>
          </a:extLst>
        </xdr:cNvPr>
        <xdr:cNvSpPr txBox="1">
          <a:spLocks noChangeArrowheads="1"/>
        </xdr:cNvSpPr>
      </xdr:nvSpPr>
      <xdr:spPr bwMode="auto">
        <a:xfrm>
          <a:off x="2352675" y="104775"/>
          <a:ext cx="2952750" cy="4762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400" b="1" i="0" u="none" strike="noStrike">
              <a:solidFill>
                <a:schemeClr val="bg1"/>
              </a:solidFill>
              <a:latin typeface="+mn-lt"/>
              <a:cs typeface="Arial"/>
            </a:rPr>
            <a:t>Tempo Estimado de Corte</a:t>
          </a:r>
        </a:p>
        <a:p>
          <a:pPr algn="ctr" rtl="0">
            <a:defRPr sz="1000"/>
          </a:pPr>
          <a:r>
            <a:rPr lang="pt-BR" sz="1400" b="1" i="0" u="none" strike="noStrike">
              <a:solidFill>
                <a:schemeClr val="bg1"/>
              </a:solidFill>
              <a:latin typeface="+mn-lt"/>
              <a:cs typeface="Arial"/>
            </a:rPr>
            <a:t>Máquina Laser 3</a:t>
          </a:r>
          <a:r>
            <a:rPr lang="pt-BR" sz="1400" b="1" i="0" u="none" strike="noStrike" baseline="0">
              <a:solidFill>
                <a:schemeClr val="bg1"/>
              </a:solidFill>
              <a:latin typeface="+mn-lt"/>
              <a:cs typeface="Arial"/>
            </a:rPr>
            <a:t> kW</a:t>
          </a:r>
          <a:endParaRPr lang="pt-BR" sz="1400" b="1" i="0" u="none" strike="noStrike">
            <a:solidFill>
              <a:schemeClr val="bg1"/>
            </a:solidFill>
            <a:latin typeface="+mn-lt"/>
            <a:cs typeface="Arial"/>
          </a:endParaRPr>
        </a:p>
        <a:p>
          <a:pPr algn="ctr" rtl="0">
            <a:defRPr sz="1000"/>
          </a:pPr>
          <a:endParaRPr lang="pt-BR" sz="14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0</xdr:col>
      <xdr:colOff>733425</xdr:colOff>
      <xdr:row>2</xdr:row>
      <xdr:rowOff>133350</xdr:rowOff>
    </xdr:from>
    <xdr:to>
      <xdr:col>0</xdr:col>
      <xdr:colOff>933450</xdr:colOff>
      <xdr:row>3</xdr:row>
      <xdr:rowOff>171450</xdr:rowOff>
    </xdr:to>
    <xdr:sp macro="" textlink="">
      <xdr:nvSpPr>
        <xdr:cNvPr id="11" name="Seta para baixo 10">
          <a:extLst>
            <a:ext uri="{FF2B5EF4-FFF2-40B4-BE49-F238E27FC236}">
              <a16:creationId xmlns:a16="http://schemas.microsoft.com/office/drawing/2014/main" id="{AD811FC2-6395-41C6-8A24-A064F3EF03F3}"/>
            </a:ext>
          </a:extLst>
        </xdr:cNvPr>
        <xdr:cNvSpPr/>
      </xdr:nvSpPr>
      <xdr:spPr bwMode="auto">
        <a:xfrm>
          <a:off x="733425" y="5905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10</xdr:col>
      <xdr:colOff>266700</xdr:colOff>
      <xdr:row>2</xdr:row>
      <xdr:rowOff>95250</xdr:rowOff>
    </xdr:from>
    <xdr:to>
      <xdr:col>10</xdr:col>
      <xdr:colOff>466725</xdr:colOff>
      <xdr:row>3</xdr:row>
      <xdr:rowOff>133350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EE6E1E23-03B3-485B-91BB-1715DADAB0CD}"/>
            </a:ext>
          </a:extLst>
        </xdr:cNvPr>
        <xdr:cNvSpPr/>
      </xdr:nvSpPr>
      <xdr:spPr bwMode="auto">
        <a:xfrm>
          <a:off x="68484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13</xdr:col>
      <xdr:colOff>238125</xdr:colOff>
      <xdr:row>0</xdr:row>
      <xdr:rowOff>209550</xdr:rowOff>
    </xdr:from>
    <xdr:to>
      <xdr:col>15</xdr:col>
      <xdr:colOff>485775</xdr:colOff>
      <xdr:row>2</xdr:row>
      <xdr:rowOff>0</xdr:rowOff>
    </xdr:to>
    <xdr:sp macro="" textlink="" fLocksText="0">
      <xdr:nvSpPr>
        <xdr:cNvPr id="13" name="Text Box 8">
          <a:extLst>
            <a:ext uri="{FF2B5EF4-FFF2-40B4-BE49-F238E27FC236}">
              <a16:creationId xmlns:a16="http://schemas.microsoft.com/office/drawing/2014/main" id="{14BC681F-ECC4-425F-98EB-561F6EBBD686}"/>
            </a:ext>
          </a:extLst>
        </xdr:cNvPr>
        <xdr:cNvSpPr txBox="1">
          <a:spLocks noChangeArrowheads="1"/>
        </xdr:cNvSpPr>
      </xdr:nvSpPr>
      <xdr:spPr bwMode="auto">
        <a:xfrm>
          <a:off x="902970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Furação 2</a:t>
          </a:r>
        </a:p>
      </xdr:txBody>
    </xdr:sp>
    <xdr:clientData/>
  </xdr:twoCellAnchor>
  <xdr:twoCellAnchor>
    <xdr:from>
      <xdr:col>14</xdr:col>
      <xdr:colOff>304800</xdr:colOff>
      <xdr:row>2</xdr:row>
      <xdr:rowOff>95250</xdr:rowOff>
    </xdr:from>
    <xdr:to>
      <xdr:col>14</xdr:col>
      <xdr:colOff>504825</xdr:colOff>
      <xdr:row>3</xdr:row>
      <xdr:rowOff>133350</xdr:rowOff>
    </xdr:to>
    <xdr:sp macro="" textlink="">
      <xdr:nvSpPr>
        <xdr:cNvPr id="14" name="Seta para baixo 13">
          <a:extLst>
            <a:ext uri="{FF2B5EF4-FFF2-40B4-BE49-F238E27FC236}">
              <a16:creationId xmlns:a16="http://schemas.microsoft.com/office/drawing/2014/main" id="{0D9F3572-0B76-4E52-87A8-B7601AE289C9}"/>
            </a:ext>
          </a:extLst>
        </xdr:cNvPr>
        <xdr:cNvSpPr/>
      </xdr:nvSpPr>
      <xdr:spPr bwMode="auto">
        <a:xfrm>
          <a:off x="98583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14</xdr:col>
      <xdr:colOff>161925</xdr:colOff>
      <xdr:row>21</xdr:row>
      <xdr:rowOff>9525</xdr:rowOff>
    </xdr:from>
    <xdr:to>
      <xdr:col>15</xdr:col>
      <xdr:colOff>790575</xdr:colOff>
      <xdr:row>22</xdr:row>
      <xdr:rowOff>218307</xdr:rowOff>
    </xdr:to>
    <xdr:pic>
      <xdr:nvPicPr>
        <xdr:cNvPr id="15" name="Imagem 14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1F50887F-7C58-4F98-9CA8-FCBA1D607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15500" y="43529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>
    <xdr:from>
      <xdr:col>0</xdr:col>
      <xdr:colOff>47625</xdr:colOff>
      <xdr:row>4</xdr:row>
      <xdr:rowOff>28575</xdr:rowOff>
    </xdr:from>
    <xdr:to>
      <xdr:col>1</xdr:col>
      <xdr:colOff>14287</xdr:colOff>
      <xdr:row>23</xdr:row>
      <xdr:rowOff>156502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BB460C0-09D6-D380-BBC6-90F275A3D8E9}"/>
            </a:ext>
          </a:extLst>
        </xdr:cNvPr>
        <xdr:cNvGrpSpPr/>
      </xdr:nvGrpSpPr>
      <xdr:grpSpPr>
        <a:xfrm>
          <a:off x="47625" y="925046"/>
          <a:ext cx="1546691" cy="4386162"/>
          <a:chOff x="95250" y="942975"/>
          <a:chExt cx="3095624" cy="4014127"/>
        </a:xfrm>
      </xdr:grpSpPr>
      <xdr:grpSp>
        <xdr:nvGrpSpPr>
          <xdr:cNvPr id="2" name="Grupo 1">
            <a:extLst>
              <a:ext uri="{FF2B5EF4-FFF2-40B4-BE49-F238E27FC236}">
                <a16:creationId xmlns:a16="http://schemas.microsoft.com/office/drawing/2014/main" id="{15B78E5F-3B59-4FA0-9133-583E48DC0E27}"/>
              </a:ext>
            </a:extLst>
          </xdr:cNvPr>
          <xdr:cNvGrpSpPr/>
        </xdr:nvGrpSpPr>
        <xdr:grpSpPr>
          <a:xfrm>
            <a:off x="95250" y="942975"/>
            <a:ext cx="3095624" cy="3304484"/>
            <a:chOff x="38100" y="939459"/>
            <a:chExt cx="1471377" cy="2999543"/>
          </a:xfrm>
          <a:solidFill>
            <a:schemeClr val="tx2">
              <a:lumMod val="75000"/>
            </a:schemeClr>
          </a:solidFill>
        </xdr:grpSpPr>
        <xdr:sp macro="[0]!Plan38.Macro1" textlink="" fLocksText="0">
          <xdr:nvSpPr>
            <xdr:cNvPr id="3" name="AutoShape 1">
              <a:extLst>
                <a:ext uri="{FF2B5EF4-FFF2-40B4-BE49-F238E27FC236}">
                  <a16:creationId xmlns:a16="http://schemas.microsoft.com/office/drawing/2014/main" id="{B2CAA38E-A4FA-84F4-8B19-10275CBA48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100" y="939459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noFill/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0,90 até 1,5mm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  <xdr:sp macro="[0]!Plan38.Macro5" textlink="" fLocksText="0">
          <xdr:nvSpPr>
            <xdr:cNvPr id="4" name="AutoShape 2">
              <a:extLst>
                <a:ext uri="{FF2B5EF4-FFF2-40B4-BE49-F238E27FC236}">
                  <a16:creationId xmlns:a16="http://schemas.microsoft.com/office/drawing/2014/main" id="{12081B77-C6AC-7904-1090-5E9D410352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682" y="3399225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7,00</a:t>
              </a:r>
              <a:r>
                <a:rPr lang="pt-BR" sz="1100" b="1" i="0" strike="noStrike" baseline="0">
                  <a:solidFill>
                    <a:schemeClr val="bg1"/>
                  </a:solidFill>
                  <a:latin typeface="+mn-lt"/>
                  <a:cs typeface="Arial"/>
                </a:rPr>
                <a:t> até 9,50</a:t>
              </a: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  <xdr:sp macro="[0]!Plan38.Macro4" textlink="" fLocksText="0">
          <xdr:nvSpPr>
            <xdr:cNvPr id="5" name="AutoShape 3">
              <a:extLst>
                <a:ext uri="{FF2B5EF4-FFF2-40B4-BE49-F238E27FC236}">
                  <a16:creationId xmlns:a16="http://schemas.microsoft.com/office/drawing/2014/main" id="{45557804-519E-EC45-6868-D1E8544454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55" y="2736579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4,76 até 6,35mm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  <xdr:sp macro="[0]!Plan38.Macro2" textlink="" fLocksText="0">
          <xdr:nvSpPr>
            <xdr:cNvPr id="6" name="AutoShape 4">
              <a:extLst>
                <a:ext uri="{FF2B5EF4-FFF2-40B4-BE49-F238E27FC236}">
                  <a16:creationId xmlns:a16="http://schemas.microsoft.com/office/drawing/2014/main" id="{75405416-CB98-3AB6-D0C1-27C970753F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100" y="1515443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1,51 até 3mm</a:t>
              </a:r>
            </a:p>
          </xdr:txBody>
        </xdr:sp>
        <xdr:sp macro="[0]!Plan38.Macro3" textlink="" fLocksText="0">
          <xdr:nvSpPr>
            <xdr:cNvPr id="7" name="AutoShape 5">
              <a:extLst>
                <a:ext uri="{FF2B5EF4-FFF2-40B4-BE49-F238E27FC236}">
                  <a16:creationId xmlns:a16="http://schemas.microsoft.com/office/drawing/2014/main" id="{CF5EACF6-A7B0-01A9-5175-7AE512DFAF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55" y="2126011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3,01 até 4,75mm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</xdr:grpSp>
      <xdr:sp macro="[0]!Plan38.Macro6" textlink="" fLocksText="0">
        <xdr:nvSpPr>
          <xdr:cNvPr id="16" name="AutoShape 2">
            <a:extLst>
              <a:ext uri="{FF2B5EF4-FFF2-40B4-BE49-F238E27FC236}">
                <a16:creationId xmlns:a16="http://schemas.microsoft.com/office/drawing/2014/main" id="{FDE7582F-BC80-4678-B48E-0D3C45C35512}"/>
              </a:ext>
            </a:extLst>
          </xdr:cNvPr>
          <xdr:cNvSpPr>
            <a:spLocks noChangeArrowheads="1"/>
          </xdr:cNvSpPr>
        </xdr:nvSpPr>
        <xdr:spPr bwMode="auto">
          <a:xfrm>
            <a:off x="123824" y="4362450"/>
            <a:ext cx="3067050" cy="594652"/>
          </a:xfrm>
          <a:prstGeom prst="roundRect">
            <a:avLst>
              <a:gd name="adj" fmla="val 16667"/>
            </a:avLst>
          </a:prstGeom>
          <a:solidFill>
            <a:schemeClr val="tx2">
              <a:lumMod val="75000"/>
            </a:schemeClr>
          </a:solidFill>
          <a:ln w="9360">
            <a:solidFill>
              <a:srgbClr val="000000"/>
            </a:solidFill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9,51 até 12,70 mm</a:t>
            </a:r>
          </a:p>
          <a:p>
            <a:pPr algn="ctr" rtl="0">
              <a:defRPr sz="1000"/>
            </a:pPr>
            <a:endParaRPr lang="pt-BR" sz="1100" b="1" i="0" strike="noStrike">
              <a:solidFill>
                <a:schemeClr val="bg1"/>
              </a:solidFill>
              <a:latin typeface="+mn-lt"/>
              <a:cs typeface="Arial"/>
            </a:endParaRPr>
          </a:p>
        </xdr:txBody>
      </xdr:sp>
    </xdr:grpSp>
    <xdr:clientData/>
  </xdr:twoCellAnchor>
  <xdr:twoCellAnchor>
    <xdr:from>
      <xdr:col>17</xdr:col>
      <xdr:colOff>238125</xdr:colOff>
      <xdr:row>0</xdr:row>
      <xdr:rowOff>209550</xdr:rowOff>
    </xdr:from>
    <xdr:to>
      <xdr:col>19</xdr:col>
      <xdr:colOff>485775</xdr:colOff>
      <xdr:row>2</xdr:row>
      <xdr:rowOff>0</xdr:rowOff>
    </xdr:to>
    <xdr:sp macro="" textlink="" fLocksText="0">
      <xdr:nvSpPr>
        <xdr:cNvPr id="24" name="Text Box 8">
          <a:extLst>
            <a:ext uri="{FF2B5EF4-FFF2-40B4-BE49-F238E27FC236}">
              <a16:creationId xmlns:a16="http://schemas.microsoft.com/office/drawing/2014/main" id="{B908445F-9C7F-4B8B-A0C7-83F12DE17C24}"/>
            </a:ext>
          </a:extLst>
        </xdr:cNvPr>
        <xdr:cNvSpPr txBox="1">
          <a:spLocks noChangeArrowheads="1"/>
        </xdr:cNvSpPr>
      </xdr:nvSpPr>
      <xdr:spPr bwMode="auto">
        <a:xfrm>
          <a:off x="902970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Oblongo 1</a:t>
          </a:r>
        </a:p>
      </xdr:txBody>
    </xdr:sp>
    <xdr:clientData/>
  </xdr:twoCellAnchor>
  <xdr:twoCellAnchor>
    <xdr:from>
      <xdr:col>18</xdr:col>
      <xdr:colOff>304800</xdr:colOff>
      <xdr:row>2</xdr:row>
      <xdr:rowOff>95250</xdr:rowOff>
    </xdr:from>
    <xdr:to>
      <xdr:col>18</xdr:col>
      <xdr:colOff>504825</xdr:colOff>
      <xdr:row>3</xdr:row>
      <xdr:rowOff>133350</xdr:rowOff>
    </xdr:to>
    <xdr:sp macro="" textlink="">
      <xdr:nvSpPr>
        <xdr:cNvPr id="25" name="Seta para baixo 13">
          <a:extLst>
            <a:ext uri="{FF2B5EF4-FFF2-40B4-BE49-F238E27FC236}">
              <a16:creationId xmlns:a16="http://schemas.microsoft.com/office/drawing/2014/main" id="{3C5E3A5B-A08D-4853-AB87-BEE5600A31BF}"/>
            </a:ext>
          </a:extLst>
        </xdr:cNvPr>
        <xdr:cNvSpPr/>
      </xdr:nvSpPr>
      <xdr:spPr bwMode="auto">
        <a:xfrm>
          <a:off x="98583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21</xdr:col>
      <xdr:colOff>238125</xdr:colOff>
      <xdr:row>0</xdr:row>
      <xdr:rowOff>209550</xdr:rowOff>
    </xdr:from>
    <xdr:to>
      <xdr:col>23</xdr:col>
      <xdr:colOff>485775</xdr:colOff>
      <xdr:row>2</xdr:row>
      <xdr:rowOff>0</xdr:rowOff>
    </xdr:to>
    <xdr:sp macro="" textlink="" fLocksText="0">
      <xdr:nvSpPr>
        <xdr:cNvPr id="26" name="Text Box 8">
          <a:extLst>
            <a:ext uri="{FF2B5EF4-FFF2-40B4-BE49-F238E27FC236}">
              <a16:creationId xmlns:a16="http://schemas.microsoft.com/office/drawing/2014/main" id="{12DAF097-B17E-4642-B41D-5A19176A5090}"/>
            </a:ext>
          </a:extLst>
        </xdr:cNvPr>
        <xdr:cNvSpPr txBox="1">
          <a:spLocks noChangeArrowheads="1"/>
        </xdr:cNvSpPr>
      </xdr:nvSpPr>
      <xdr:spPr bwMode="auto">
        <a:xfrm>
          <a:off x="11972925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Oblongo 2</a:t>
          </a:r>
        </a:p>
      </xdr:txBody>
    </xdr:sp>
    <xdr:clientData/>
  </xdr:twoCellAnchor>
  <xdr:twoCellAnchor>
    <xdr:from>
      <xdr:col>22</xdr:col>
      <xdr:colOff>304800</xdr:colOff>
      <xdr:row>2</xdr:row>
      <xdr:rowOff>95250</xdr:rowOff>
    </xdr:from>
    <xdr:to>
      <xdr:col>22</xdr:col>
      <xdr:colOff>504825</xdr:colOff>
      <xdr:row>3</xdr:row>
      <xdr:rowOff>133350</xdr:rowOff>
    </xdr:to>
    <xdr:sp macro="" textlink="">
      <xdr:nvSpPr>
        <xdr:cNvPr id="27" name="Seta para baixo 13">
          <a:extLst>
            <a:ext uri="{FF2B5EF4-FFF2-40B4-BE49-F238E27FC236}">
              <a16:creationId xmlns:a16="http://schemas.microsoft.com/office/drawing/2014/main" id="{08DC5DD8-08C9-4EB8-B692-BBE4C6EC763A}"/>
            </a:ext>
          </a:extLst>
        </xdr:cNvPr>
        <xdr:cNvSpPr/>
      </xdr:nvSpPr>
      <xdr:spPr bwMode="auto">
        <a:xfrm>
          <a:off x="12801600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114300</xdr:rowOff>
    </xdr:from>
    <xdr:to>
      <xdr:col>1</xdr:col>
      <xdr:colOff>9525</xdr:colOff>
      <xdr:row>2</xdr:row>
      <xdr:rowOff>85725</xdr:rowOff>
    </xdr:to>
    <xdr:sp macro="" textlink="" fLocksText="0">
      <xdr:nvSpPr>
        <xdr:cNvPr id="2" name="Text Box 6">
          <a:extLst>
            <a:ext uri="{FF2B5EF4-FFF2-40B4-BE49-F238E27FC236}">
              <a16:creationId xmlns:a16="http://schemas.microsoft.com/office/drawing/2014/main" id="{05837101-35BC-4455-83C9-D19E986C031D}"/>
            </a:ext>
          </a:extLst>
        </xdr:cNvPr>
        <xdr:cNvSpPr txBox="1">
          <a:spLocks noChangeArrowheads="1"/>
        </xdr:cNvSpPr>
      </xdr:nvSpPr>
      <xdr:spPr bwMode="auto">
        <a:xfrm>
          <a:off x="104775" y="114300"/>
          <a:ext cx="1485900" cy="428625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ctr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Selecionar </a:t>
          </a:r>
        </a:p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Espessura</a:t>
          </a:r>
        </a:p>
      </xdr:txBody>
    </xdr:sp>
    <xdr:clientData/>
  </xdr:twoCellAnchor>
  <xdr:twoCellAnchor>
    <xdr:from>
      <xdr:col>9</xdr:col>
      <xdr:colOff>219075</xdr:colOff>
      <xdr:row>0</xdr:row>
      <xdr:rowOff>209550</xdr:rowOff>
    </xdr:from>
    <xdr:to>
      <xdr:col>11</xdr:col>
      <xdr:colOff>466725</xdr:colOff>
      <xdr:row>2</xdr:row>
      <xdr:rowOff>0</xdr:rowOff>
    </xdr:to>
    <xdr:sp macro="" textlink="" fLocksText="0">
      <xdr:nvSpPr>
        <xdr:cNvPr id="3" name="Text Box 8">
          <a:extLst>
            <a:ext uri="{FF2B5EF4-FFF2-40B4-BE49-F238E27FC236}">
              <a16:creationId xmlns:a16="http://schemas.microsoft.com/office/drawing/2014/main" id="{F71779C6-9B5B-484C-88B5-90F85AFA3292}"/>
            </a:ext>
          </a:extLst>
        </xdr:cNvPr>
        <xdr:cNvSpPr txBox="1">
          <a:spLocks noChangeArrowheads="1"/>
        </xdr:cNvSpPr>
      </xdr:nvSpPr>
      <xdr:spPr bwMode="auto">
        <a:xfrm>
          <a:off x="603885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Furação 1</a:t>
          </a:r>
        </a:p>
      </xdr:txBody>
    </xdr:sp>
    <xdr:clientData/>
  </xdr:twoCellAnchor>
  <xdr:twoCellAnchor>
    <xdr:from>
      <xdr:col>2</xdr:col>
      <xdr:colOff>342900</xdr:colOff>
      <xdr:row>0</xdr:row>
      <xdr:rowOff>104775</xdr:rowOff>
    </xdr:from>
    <xdr:to>
      <xdr:col>7</xdr:col>
      <xdr:colOff>152400</xdr:colOff>
      <xdr:row>2</xdr:row>
      <xdr:rowOff>123825</xdr:rowOff>
    </xdr:to>
    <xdr:sp macro="" textlink="" fLocksText="0">
      <xdr:nvSpPr>
        <xdr:cNvPr id="4" name="Text Box 12">
          <a:extLst>
            <a:ext uri="{FF2B5EF4-FFF2-40B4-BE49-F238E27FC236}">
              <a16:creationId xmlns:a16="http://schemas.microsoft.com/office/drawing/2014/main" id="{3EB00FD4-116A-456A-A33F-627ACB88A1DE}"/>
            </a:ext>
          </a:extLst>
        </xdr:cNvPr>
        <xdr:cNvSpPr txBox="1">
          <a:spLocks noChangeArrowheads="1"/>
        </xdr:cNvSpPr>
      </xdr:nvSpPr>
      <xdr:spPr bwMode="auto">
        <a:xfrm>
          <a:off x="2352675" y="104775"/>
          <a:ext cx="2952750" cy="4762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400" b="1" i="0" u="none" strike="noStrike">
              <a:solidFill>
                <a:schemeClr val="bg1"/>
              </a:solidFill>
              <a:latin typeface="+mn-lt"/>
              <a:cs typeface="Arial"/>
            </a:rPr>
            <a:t>Tempo Estimado de Corte</a:t>
          </a:r>
        </a:p>
        <a:p>
          <a:pPr algn="ctr" rtl="0">
            <a:defRPr sz="1000"/>
          </a:pPr>
          <a:r>
            <a:rPr lang="pt-BR" sz="1400" b="1" i="0" u="none" strike="noStrike">
              <a:solidFill>
                <a:schemeClr val="bg1"/>
              </a:solidFill>
              <a:latin typeface="+mn-lt"/>
              <a:cs typeface="Arial"/>
            </a:rPr>
            <a:t>Máquina Laser 12 kW</a:t>
          </a:r>
        </a:p>
        <a:p>
          <a:pPr algn="ctr" rtl="0">
            <a:defRPr sz="1000"/>
          </a:pPr>
          <a:endParaRPr lang="pt-BR" sz="14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0</xdr:col>
      <xdr:colOff>733425</xdr:colOff>
      <xdr:row>2</xdr:row>
      <xdr:rowOff>133350</xdr:rowOff>
    </xdr:from>
    <xdr:to>
      <xdr:col>0</xdr:col>
      <xdr:colOff>933450</xdr:colOff>
      <xdr:row>3</xdr:row>
      <xdr:rowOff>171450</xdr:rowOff>
    </xdr:to>
    <xdr:sp macro="" textlink="">
      <xdr:nvSpPr>
        <xdr:cNvPr id="5" name="Seta para baixo 10">
          <a:extLst>
            <a:ext uri="{FF2B5EF4-FFF2-40B4-BE49-F238E27FC236}">
              <a16:creationId xmlns:a16="http://schemas.microsoft.com/office/drawing/2014/main" id="{F2F265F2-5214-49D2-B7EE-780E883B18BF}"/>
            </a:ext>
          </a:extLst>
        </xdr:cNvPr>
        <xdr:cNvSpPr/>
      </xdr:nvSpPr>
      <xdr:spPr bwMode="auto">
        <a:xfrm>
          <a:off x="733425" y="5905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10</xdr:col>
      <xdr:colOff>266700</xdr:colOff>
      <xdr:row>2</xdr:row>
      <xdr:rowOff>95250</xdr:rowOff>
    </xdr:from>
    <xdr:to>
      <xdr:col>10</xdr:col>
      <xdr:colOff>466725</xdr:colOff>
      <xdr:row>3</xdr:row>
      <xdr:rowOff>133350</xdr:rowOff>
    </xdr:to>
    <xdr:sp macro="" textlink="">
      <xdr:nvSpPr>
        <xdr:cNvPr id="6" name="Seta para baixo 11">
          <a:extLst>
            <a:ext uri="{FF2B5EF4-FFF2-40B4-BE49-F238E27FC236}">
              <a16:creationId xmlns:a16="http://schemas.microsoft.com/office/drawing/2014/main" id="{8FC8585C-F430-489E-A809-3B269BE2919A}"/>
            </a:ext>
          </a:extLst>
        </xdr:cNvPr>
        <xdr:cNvSpPr/>
      </xdr:nvSpPr>
      <xdr:spPr bwMode="auto">
        <a:xfrm>
          <a:off x="68484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13</xdr:col>
      <xdr:colOff>238125</xdr:colOff>
      <xdr:row>0</xdr:row>
      <xdr:rowOff>209550</xdr:rowOff>
    </xdr:from>
    <xdr:to>
      <xdr:col>15</xdr:col>
      <xdr:colOff>485775</xdr:colOff>
      <xdr:row>2</xdr:row>
      <xdr:rowOff>0</xdr:rowOff>
    </xdr:to>
    <xdr:sp macro="" textlink="" fLocksText="0">
      <xdr:nvSpPr>
        <xdr:cNvPr id="7" name="Text Box 8">
          <a:extLst>
            <a:ext uri="{FF2B5EF4-FFF2-40B4-BE49-F238E27FC236}">
              <a16:creationId xmlns:a16="http://schemas.microsoft.com/office/drawing/2014/main" id="{C50BB651-1E3A-446C-A73B-85D30D7D9A25}"/>
            </a:ext>
          </a:extLst>
        </xdr:cNvPr>
        <xdr:cNvSpPr txBox="1">
          <a:spLocks noChangeArrowheads="1"/>
        </xdr:cNvSpPr>
      </xdr:nvSpPr>
      <xdr:spPr bwMode="auto">
        <a:xfrm>
          <a:off x="902970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Furação 2</a:t>
          </a:r>
        </a:p>
      </xdr:txBody>
    </xdr:sp>
    <xdr:clientData/>
  </xdr:twoCellAnchor>
  <xdr:twoCellAnchor>
    <xdr:from>
      <xdr:col>14</xdr:col>
      <xdr:colOff>304800</xdr:colOff>
      <xdr:row>2</xdr:row>
      <xdr:rowOff>95250</xdr:rowOff>
    </xdr:from>
    <xdr:to>
      <xdr:col>14</xdr:col>
      <xdr:colOff>504825</xdr:colOff>
      <xdr:row>3</xdr:row>
      <xdr:rowOff>133350</xdr:rowOff>
    </xdr:to>
    <xdr:sp macro="" textlink="">
      <xdr:nvSpPr>
        <xdr:cNvPr id="8" name="Seta para baixo 13">
          <a:extLst>
            <a:ext uri="{FF2B5EF4-FFF2-40B4-BE49-F238E27FC236}">
              <a16:creationId xmlns:a16="http://schemas.microsoft.com/office/drawing/2014/main" id="{DFD8B2E3-1AFF-4CE2-AF7F-56D1B49585AB}"/>
            </a:ext>
          </a:extLst>
        </xdr:cNvPr>
        <xdr:cNvSpPr/>
      </xdr:nvSpPr>
      <xdr:spPr bwMode="auto">
        <a:xfrm>
          <a:off x="98583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14</xdr:col>
      <xdr:colOff>161925</xdr:colOff>
      <xdr:row>21</xdr:row>
      <xdr:rowOff>9525</xdr:rowOff>
    </xdr:from>
    <xdr:to>
      <xdr:col>15</xdr:col>
      <xdr:colOff>790575</xdr:colOff>
      <xdr:row>22</xdr:row>
      <xdr:rowOff>218307</xdr:rowOff>
    </xdr:to>
    <xdr:pic>
      <xdr:nvPicPr>
        <xdr:cNvPr id="9" name="Imagem 8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80C52081-C765-4828-8DE5-754B1072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15500" y="48101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  <xdr:twoCellAnchor>
    <xdr:from>
      <xdr:col>0</xdr:col>
      <xdr:colOff>47625</xdr:colOff>
      <xdr:row>4</xdr:row>
      <xdr:rowOff>9525</xdr:rowOff>
    </xdr:from>
    <xdr:to>
      <xdr:col>1</xdr:col>
      <xdr:colOff>14287</xdr:colOff>
      <xdr:row>23</xdr:row>
      <xdr:rowOff>156502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BA9C41ED-BF98-42DB-806E-B02B5B4E4925}"/>
            </a:ext>
          </a:extLst>
        </xdr:cNvPr>
        <xdr:cNvGrpSpPr/>
      </xdr:nvGrpSpPr>
      <xdr:grpSpPr>
        <a:xfrm>
          <a:off x="47625" y="923925"/>
          <a:ext cx="1547812" cy="4490377"/>
          <a:chOff x="95250" y="925873"/>
          <a:chExt cx="3095624" cy="4031229"/>
        </a:xfrm>
      </xdr:grpSpPr>
      <xdr:grpSp>
        <xdr:nvGrpSpPr>
          <xdr:cNvPr id="11" name="Grupo 1">
            <a:extLst>
              <a:ext uri="{FF2B5EF4-FFF2-40B4-BE49-F238E27FC236}">
                <a16:creationId xmlns:a16="http://schemas.microsoft.com/office/drawing/2014/main" id="{36B7D76F-CF00-DE25-D97B-2A4901AE155B}"/>
              </a:ext>
            </a:extLst>
          </xdr:cNvPr>
          <xdr:cNvGrpSpPr/>
        </xdr:nvGrpSpPr>
        <xdr:grpSpPr>
          <a:xfrm>
            <a:off x="95250" y="925873"/>
            <a:ext cx="3095624" cy="3321586"/>
            <a:chOff x="38100" y="923935"/>
            <a:chExt cx="1471377" cy="3015067"/>
          </a:xfrm>
          <a:solidFill>
            <a:schemeClr val="tx2">
              <a:lumMod val="75000"/>
            </a:schemeClr>
          </a:solidFill>
        </xdr:grpSpPr>
        <xdr:sp macro="[0]!Plan39.Macro1" textlink="" fLocksText="0">
          <xdr:nvSpPr>
            <xdr:cNvPr id="13" name="AutoShape 1">
              <a:extLst>
                <a:ext uri="{FF2B5EF4-FFF2-40B4-BE49-F238E27FC236}">
                  <a16:creationId xmlns:a16="http://schemas.microsoft.com/office/drawing/2014/main" id="{93A58087-9E4A-A240-152E-97A6E2041D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55" y="923935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noFill/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0,90 até 1,5mm</a:t>
              </a:r>
            </a:p>
          </xdr:txBody>
        </xdr:sp>
        <xdr:sp macro="[0]!Plan39.Macro5" textlink="" fLocksText="0">
          <xdr:nvSpPr>
            <xdr:cNvPr id="14" name="AutoShape 2">
              <a:extLst>
                <a:ext uri="{FF2B5EF4-FFF2-40B4-BE49-F238E27FC236}">
                  <a16:creationId xmlns:a16="http://schemas.microsoft.com/office/drawing/2014/main" id="{5C0792B1-D5DE-E413-E2D7-4549FFEB55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682" y="3399225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7,00</a:t>
              </a:r>
              <a:r>
                <a:rPr lang="pt-BR" sz="1100" b="1" i="0" strike="noStrike" baseline="0">
                  <a:solidFill>
                    <a:schemeClr val="bg1"/>
                  </a:solidFill>
                  <a:latin typeface="+mn-lt"/>
                  <a:cs typeface="Arial"/>
                </a:rPr>
                <a:t> até 9,50</a:t>
              </a: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  <xdr:sp macro="[0]!Plan39.Macro4" textlink="" fLocksText="0">
          <xdr:nvSpPr>
            <xdr:cNvPr id="15" name="AutoShape 3">
              <a:extLst>
                <a:ext uri="{FF2B5EF4-FFF2-40B4-BE49-F238E27FC236}">
                  <a16:creationId xmlns:a16="http://schemas.microsoft.com/office/drawing/2014/main" id="{E36C7F0F-5B06-7170-D0AA-B06B01FE53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55" y="2736579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4,76 até 6,35mm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  <xdr:sp macro="[0]!Plan39.Macro2" textlink="" fLocksText="0">
          <xdr:nvSpPr>
            <xdr:cNvPr id="16" name="AutoShape 4">
              <a:extLst>
                <a:ext uri="{FF2B5EF4-FFF2-40B4-BE49-F238E27FC236}">
                  <a16:creationId xmlns:a16="http://schemas.microsoft.com/office/drawing/2014/main" id="{59ACC7E1-6140-6616-9ED6-2F12BD34AA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8100" y="1515443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1,51 até 3mm</a:t>
              </a:r>
            </a:p>
          </xdr:txBody>
        </xdr:sp>
        <xdr:sp macro="[0]!Plan39.Macro3" textlink="" fLocksText="0">
          <xdr:nvSpPr>
            <xdr:cNvPr id="17" name="AutoShape 5">
              <a:extLst>
                <a:ext uri="{FF2B5EF4-FFF2-40B4-BE49-F238E27FC236}">
                  <a16:creationId xmlns:a16="http://schemas.microsoft.com/office/drawing/2014/main" id="{773AAAC3-C883-94C0-CB5F-F0F21AD7F2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155" y="2126011"/>
              <a:ext cx="1457795" cy="539777"/>
            </a:xfrm>
            <a:prstGeom prst="roundRect">
              <a:avLst>
                <a:gd name="adj" fmla="val 16667"/>
              </a:avLst>
            </a:prstGeom>
            <a:grpFill/>
            <a:ln w="9360">
              <a:solidFill>
                <a:srgbClr val="000000"/>
              </a:solidFill>
              <a:miter lim="800000"/>
              <a:headEnd/>
              <a:tailEnd/>
            </a:ln>
            <a:effectLst/>
            <a:scene3d>
              <a:camera prst="orthographicFront"/>
              <a:lightRig rig="threePt" dir="t"/>
            </a:scene3d>
            <a:sp3d>
              <a:bevelT w="114300" prst="artDeco"/>
            </a:sp3d>
          </xdr:spPr>
          <xdr:txBody>
            <a:bodyPr vertOverflow="clip" wrap="square" lIns="18000" tIns="144000" rIns="18000" bIns="10800" anchor="t" upright="1"/>
            <a:lstStyle/>
            <a:p>
              <a:pPr algn="ctr" rtl="0">
                <a:defRPr sz="1000"/>
              </a:pPr>
              <a:r>
                <a:rPr lang="pt-BR" sz="1100" b="1" i="0" strike="noStrike">
                  <a:solidFill>
                    <a:schemeClr val="bg1"/>
                  </a:solidFill>
                  <a:latin typeface="+mn-lt"/>
                  <a:cs typeface="Arial"/>
                </a:rPr>
                <a:t>3,01 até 4,75mm</a:t>
              </a:r>
            </a:p>
            <a:p>
              <a:pPr algn="ctr" rtl="0">
                <a:defRPr sz="1000"/>
              </a:pPr>
              <a:endParaRPr lang="pt-BR" sz="1100" b="1" i="0" strike="noStrike">
                <a:solidFill>
                  <a:schemeClr val="bg1"/>
                </a:solidFill>
                <a:latin typeface="+mn-lt"/>
                <a:cs typeface="Arial"/>
              </a:endParaRPr>
            </a:p>
          </xdr:txBody>
        </xdr:sp>
      </xdr:grpSp>
      <xdr:sp macro="[0]!Plan39.Macro6" textlink="" fLocksText="0">
        <xdr:nvSpPr>
          <xdr:cNvPr id="12" name="AutoShape 2">
            <a:extLst>
              <a:ext uri="{FF2B5EF4-FFF2-40B4-BE49-F238E27FC236}">
                <a16:creationId xmlns:a16="http://schemas.microsoft.com/office/drawing/2014/main" id="{FF6DF2C9-57A4-93E2-75B8-DD8F4470DFE9}"/>
              </a:ext>
            </a:extLst>
          </xdr:cNvPr>
          <xdr:cNvSpPr>
            <a:spLocks noChangeArrowheads="1"/>
          </xdr:cNvSpPr>
        </xdr:nvSpPr>
        <xdr:spPr bwMode="auto">
          <a:xfrm>
            <a:off x="123824" y="4362450"/>
            <a:ext cx="3067050" cy="594652"/>
          </a:xfrm>
          <a:prstGeom prst="roundRect">
            <a:avLst>
              <a:gd name="adj" fmla="val 16667"/>
            </a:avLst>
          </a:prstGeom>
          <a:solidFill>
            <a:schemeClr val="tx2">
              <a:lumMod val="75000"/>
            </a:schemeClr>
          </a:solidFill>
          <a:ln w="9360">
            <a:solidFill>
              <a:srgbClr val="000000"/>
            </a:solidFill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9,51 até 12,70 mm</a:t>
            </a:r>
          </a:p>
          <a:p>
            <a:pPr algn="ctr" rtl="0">
              <a:defRPr sz="1000"/>
            </a:pPr>
            <a:endParaRPr lang="pt-BR" sz="1100" b="1" i="0" strike="noStrike">
              <a:solidFill>
                <a:schemeClr val="bg1"/>
              </a:solidFill>
              <a:latin typeface="+mn-lt"/>
              <a:cs typeface="Arial"/>
            </a:endParaRPr>
          </a:p>
        </xdr:txBody>
      </xdr:sp>
    </xdr:grpSp>
    <xdr:clientData/>
  </xdr:twoCellAnchor>
  <xdr:twoCellAnchor>
    <xdr:from>
      <xdr:col>17</xdr:col>
      <xdr:colOff>238125</xdr:colOff>
      <xdr:row>0</xdr:row>
      <xdr:rowOff>209550</xdr:rowOff>
    </xdr:from>
    <xdr:to>
      <xdr:col>19</xdr:col>
      <xdr:colOff>485775</xdr:colOff>
      <xdr:row>2</xdr:row>
      <xdr:rowOff>0</xdr:rowOff>
    </xdr:to>
    <xdr:sp macro="" textlink="" fLocksText="0">
      <xdr:nvSpPr>
        <xdr:cNvPr id="18" name="Text Box 8">
          <a:extLst>
            <a:ext uri="{FF2B5EF4-FFF2-40B4-BE49-F238E27FC236}">
              <a16:creationId xmlns:a16="http://schemas.microsoft.com/office/drawing/2014/main" id="{82CBD8F8-E860-4F67-8D74-D5A08190018C}"/>
            </a:ext>
          </a:extLst>
        </xdr:cNvPr>
        <xdr:cNvSpPr txBox="1">
          <a:spLocks noChangeArrowheads="1"/>
        </xdr:cNvSpPr>
      </xdr:nvSpPr>
      <xdr:spPr bwMode="auto">
        <a:xfrm>
          <a:off x="11972925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Oblongo 1</a:t>
          </a:r>
        </a:p>
      </xdr:txBody>
    </xdr:sp>
    <xdr:clientData/>
  </xdr:twoCellAnchor>
  <xdr:twoCellAnchor>
    <xdr:from>
      <xdr:col>18</xdr:col>
      <xdr:colOff>304800</xdr:colOff>
      <xdr:row>2</xdr:row>
      <xdr:rowOff>95250</xdr:rowOff>
    </xdr:from>
    <xdr:to>
      <xdr:col>18</xdr:col>
      <xdr:colOff>504825</xdr:colOff>
      <xdr:row>3</xdr:row>
      <xdr:rowOff>133350</xdr:rowOff>
    </xdr:to>
    <xdr:sp macro="" textlink="">
      <xdr:nvSpPr>
        <xdr:cNvPr id="19" name="Seta para baixo 13">
          <a:extLst>
            <a:ext uri="{FF2B5EF4-FFF2-40B4-BE49-F238E27FC236}">
              <a16:creationId xmlns:a16="http://schemas.microsoft.com/office/drawing/2014/main" id="{FDCF1052-F895-412E-A068-086169DA2C0C}"/>
            </a:ext>
          </a:extLst>
        </xdr:cNvPr>
        <xdr:cNvSpPr/>
      </xdr:nvSpPr>
      <xdr:spPr bwMode="auto">
        <a:xfrm>
          <a:off x="12801600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21</xdr:col>
      <xdr:colOff>238125</xdr:colOff>
      <xdr:row>0</xdr:row>
      <xdr:rowOff>209550</xdr:rowOff>
    </xdr:from>
    <xdr:to>
      <xdr:col>23</xdr:col>
      <xdr:colOff>485775</xdr:colOff>
      <xdr:row>2</xdr:row>
      <xdr:rowOff>0</xdr:rowOff>
    </xdr:to>
    <xdr:sp macro="" textlink="" fLocksText="0">
      <xdr:nvSpPr>
        <xdr:cNvPr id="20" name="Text Box 8">
          <a:extLst>
            <a:ext uri="{FF2B5EF4-FFF2-40B4-BE49-F238E27FC236}">
              <a16:creationId xmlns:a16="http://schemas.microsoft.com/office/drawing/2014/main" id="{D9539795-F0E4-4A3B-AB39-D8DFD97EAD72}"/>
            </a:ext>
          </a:extLst>
        </xdr:cNvPr>
        <xdr:cNvSpPr txBox="1">
          <a:spLocks noChangeArrowheads="1"/>
        </xdr:cNvSpPr>
      </xdr:nvSpPr>
      <xdr:spPr bwMode="auto">
        <a:xfrm>
          <a:off x="15173325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Oblongo 2</a:t>
          </a:r>
        </a:p>
      </xdr:txBody>
    </xdr:sp>
    <xdr:clientData/>
  </xdr:twoCellAnchor>
  <xdr:twoCellAnchor>
    <xdr:from>
      <xdr:col>22</xdr:col>
      <xdr:colOff>304800</xdr:colOff>
      <xdr:row>2</xdr:row>
      <xdr:rowOff>95250</xdr:rowOff>
    </xdr:from>
    <xdr:to>
      <xdr:col>22</xdr:col>
      <xdr:colOff>504825</xdr:colOff>
      <xdr:row>3</xdr:row>
      <xdr:rowOff>133350</xdr:rowOff>
    </xdr:to>
    <xdr:sp macro="" textlink="">
      <xdr:nvSpPr>
        <xdr:cNvPr id="21" name="Seta para baixo 13">
          <a:extLst>
            <a:ext uri="{FF2B5EF4-FFF2-40B4-BE49-F238E27FC236}">
              <a16:creationId xmlns:a16="http://schemas.microsoft.com/office/drawing/2014/main" id="{93955E16-9E30-4696-9468-9EDCC16F7FF9}"/>
            </a:ext>
          </a:extLst>
        </xdr:cNvPr>
        <xdr:cNvSpPr/>
      </xdr:nvSpPr>
      <xdr:spPr bwMode="auto">
        <a:xfrm>
          <a:off x="16002000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219075</xdr:rowOff>
    </xdr:from>
    <xdr:to>
      <xdr:col>1</xdr:col>
      <xdr:colOff>9525</xdr:colOff>
      <xdr:row>18</xdr:row>
      <xdr:rowOff>10199</xdr:rowOff>
    </xdr:to>
    <xdr:grpSp>
      <xdr:nvGrpSpPr>
        <xdr:cNvPr id="16" name="Grupo 1">
          <a:extLst>
            <a:ext uri="{FF2B5EF4-FFF2-40B4-BE49-F238E27FC236}">
              <a16:creationId xmlns:a16="http://schemas.microsoft.com/office/drawing/2014/main" id="{C7728148-6DAF-4A05-9986-C063F9BA0BA6}"/>
            </a:ext>
          </a:extLst>
        </xdr:cNvPr>
        <xdr:cNvGrpSpPr/>
      </xdr:nvGrpSpPr>
      <xdr:grpSpPr>
        <a:xfrm>
          <a:off x="47625" y="904875"/>
          <a:ext cx="1543050" cy="3220124"/>
          <a:chOff x="38100" y="904875"/>
          <a:chExt cx="1466850" cy="2991524"/>
        </a:xfrm>
        <a:solidFill>
          <a:schemeClr val="tx2">
            <a:lumMod val="75000"/>
          </a:schemeClr>
        </a:solidFill>
      </xdr:grpSpPr>
      <xdr:sp macro="[0]!Plan37.Macro1" textlink="" fLocksText="0">
        <xdr:nvSpPr>
          <xdr:cNvPr id="3" name="AutoShape 1">
            <a:extLst>
              <a:ext uri="{FF2B5EF4-FFF2-40B4-BE49-F238E27FC236}">
                <a16:creationId xmlns:a16="http://schemas.microsoft.com/office/drawing/2014/main" id="{00000000-0008-0000-24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8100" y="904875"/>
            <a:ext cx="1457795" cy="539777"/>
          </a:xfrm>
          <a:prstGeom prst="roundRect">
            <a:avLst>
              <a:gd name="adj" fmla="val 16667"/>
            </a:avLst>
          </a:prstGeom>
          <a:grpFill/>
          <a:ln w="9360">
            <a:noFill/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0,90 até 1,5mm</a:t>
            </a:r>
          </a:p>
          <a:p>
            <a:pPr algn="ctr" rtl="0">
              <a:defRPr sz="1000"/>
            </a:pPr>
            <a:endParaRPr lang="pt-BR" sz="1100" b="1" i="0" strike="noStrike">
              <a:solidFill>
                <a:schemeClr val="bg1"/>
              </a:solidFill>
              <a:latin typeface="+mn-lt"/>
              <a:cs typeface="Arial"/>
            </a:endParaRPr>
          </a:p>
        </xdr:txBody>
      </xdr:sp>
      <xdr:sp macro="[0]!Plan37.Macro5" textlink="" fLocksText="0">
        <xdr:nvSpPr>
          <xdr:cNvPr id="4" name="AutoShape 2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47155" y="3355995"/>
            <a:ext cx="1457795" cy="539777"/>
          </a:xfrm>
          <a:prstGeom prst="roundRect">
            <a:avLst>
              <a:gd name="adj" fmla="val 16667"/>
            </a:avLst>
          </a:prstGeom>
          <a:grpFill/>
          <a:ln w="9360">
            <a:solidFill>
              <a:srgbClr val="000000"/>
            </a:solidFill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12 mm</a:t>
            </a:r>
          </a:p>
          <a:p>
            <a:pPr algn="ctr" rtl="0">
              <a:defRPr sz="1000"/>
            </a:pPr>
            <a:endParaRPr lang="pt-BR" sz="1100" b="1" i="0" strike="noStrike">
              <a:solidFill>
                <a:schemeClr val="bg1"/>
              </a:solidFill>
              <a:latin typeface="+mn-lt"/>
              <a:cs typeface="Arial"/>
            </a:endParaRPr>
          </a:p>
        </xdr:txBody>
      </xdr:sp>
      <xdr:sp macro="[0]!Plan37.Macro4" textlink="" fLocksText="0">
        <xdr:nvSpPr>
          <xdr:cNvPr id="5" name="AutoShape 3">
            <a:extLst>
              <a:ext uri="{FF2B5EF4-FFF2-40B4-BE49-F238E27FC236}">
                <a16:creationId xmlns:a16="http://schemas.microsoft.com/office/drawing/2014/main" id="{00000000-0008-0000-24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7155" y="2736579"/>
            <a:ext cx="1457795" cy="539777"/>
          </a:xfrm>
          <a:prstGeom prst="roundRect">
            <a:avLst>
              <a:gd name="adj" fmla="val 16667"/>
            </a:avLst>
          </a:prstGeom>
          <a:grpFill/>
          <a:ln w="9360">
            <a:solidFill>
              <a:srgbClr val="000000"/>
            </a:solidFill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7,90 até 9,5mm</a:t>
            </a:r>
          </a:p>
          <a:p>
            <a:pPr algn="ctr" rtl="0">
              <a:defRPr sz="1000"/>
            </a:pPr>
            <a:endParaRPr lang="pt-BR" sz="1100" b="1" i="0" strike="noStrike">
              <a:solidFill>
                <a:schemeClr val="bg1"/>
              </a:solidFill>
              <a:latin typeface="+mn-lt"/>
              <a:cs typeface="Arial"/>
            </a:endParaRPr>
          </a:p>
        </xdr:txBody>
      </xdr:sp>
      <xdr:sp macro="[0]!Plan37.Macro2" textlink="" fLocksText="0">
        <xdr:nvSpPr>
          <xdr:cNvPr id="6" name="AutoShape 4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8100" y="1515443"/>
            <a:ext cx="1457795" cy="539777"/>
          </a:xfrm>
          <a:prstGeom prst="roundRect">
            <a:avLst>
              <a:gd name="adj" fmla="val 16667"/>
            </a:avLst>
          </a:prstGeom>
          <a:grpFill/>
          <a:ln w="9360">
            <a:solidFill>
              <a:srgbClr val="000000"/>
            </a:solidFill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1,51 até 3mm</a:t>
            </a:r>
          </a:p>
        </xdr:txBody>
      </xdr:sp>
      <xdr:sp macro="[0]!Plan37.Macro3" textlink="" fLocksText="0">
        <xdr:nvSpPr>
          <xdr:cNvPr id="7" name="AutoShape 5">
            <a:extLst>
              <a:ext uri="{FF2B5EF4-FFF2-40B4-BE49-F238E27FC236}">
                <a16:creationId xmlns:a16="http://schemas.microsoft.com/office/drawing/2014/main" id="{00000000-0008-0000-24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7155" y="2126011"/>
            <a:ext cx="1457795" cy="539777"/>
          </a:xfrm>
          <a:prstGeom prst="roundRect">
            <a:avLst>
              <a:gd name="adj" fmla="val 16667"/>
            </a:avLst>
          </a:prstGeom>
          <a:grpFill/>
          <a:ln w="9360">
            <a:solidFill>
              <a:srgbClr val="000000"/>
            </a:solidFill>
            <a:miter lim="800000"/>
            <a:headEnd/>
            <a:tailEnd/>
          </a:ln>
          <a:effectLst/>
          <a:scene3d>
            <a:camera prst="orthographicFront"/>
            <a:lightRig rig="threePt" dir="t"/>
          </a:scene3d>
          <a:sp3d>
            <a:bevelT w="114300" prst="artDeco"/>
          </a:sp3d>
        </xdr:spPr>
        <xdr:txBody>
          <a:bodyPr vertOverflow="clip" wrap="square" lIns="18000" tIns="144000" rIns="18000" bIns="10800" anchor="t" upright="1"/>
          <a:lstStyle/>
          <a:p>
            <a:pPr algn="ctr" rtl="0">
              <a:defRPr sz="1000"/>
            </a:pPr>
            <a:r>
              <a:rPr lang="pt-BR" sz="1100" b="1" i="0" strike="noStrike">
                <a:solidFill>
                  <a:schemeClr val="bg1"/>
                </a:solidFill>
                <a:latin typeface="+mn-lt"/>
                <a:cs typeface="Arial"/>
              </a:rPr>
              <a:t>3,01 até 6,35mm</a:t>
            </a:r>
          </a:p>
          <a:p>
            <a:pPr algn="ctr" rtl="0">
              <a:defRPr sz="1000"/>
            </a:pPr>
            <a:endParaRPr lang="pt-BR" sz="1100" b="1" i="0" strike="noStrike">
              <a:solidFill>
                <a:schemeClr val="bg1"/>
              </a:solidFill>
              <a:latin typeface="+mn-lt"/>
              <a:cs typeface="Arial"/>
            </a:endParaRPr>
          </a:p>
        </xdr:txBody>
      </xdr:sp>
    </xdr:grpSp>
    <xdr:clientData/>
  </xdr:twoCellAnchor>
  <xdr:twoCellAnchor>
    <xdr:from>
      <xdr:col>0</xdr:col>
      <xdr:colOff>104775</xdr:colOff>
      <xdr:row>0</xdr:row>
      <xdr:rowOff>114300</xdr:rowOff>
    </xdr:from>
    <xdr:to>
      <xdr:col>1</xdr:col>
      <xdr:colOff>9525</xdr:colOff>
      <xdr:row>2</xdr:row>
      <xdr:rowOff>85725</xdr:rowOff>
    </xdr:to>
    <xdr:sp macro="" textlink="" fLocksText="0">
      <xdr:nvSpPr>
        <xdr:cNvPr id="8" name="Text Box 6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 txBox="1">
          <a:spLocks noChangeArrowheads="1"/>
        </xdr:cNvSpPr>
      </xdr:nvSpPr>
      <xdr:spPr bwMode="auto">
        <a:xfrm>
          <a:off x="104775" y="114300"/>
          <a:ext cx="1485900" cy="428625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ctr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Selecionar </a:t>
          </a:r>
        </a:p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Espessura</a:t>
          </a:r>
        </a:p>
      </xdr:txBody>
    </xdr:sp>
    <xdr:clientData/>
  </xdr:twoCellAnchor>
  <xdr:twoCellAnchor>
    <xdr:from>
      <xdr:col>9</xdr:col>
      <xdr:colOff>219075</xdr:colOff>
      <xdr:row>0</xdr:row>
      <xdr:rowOff>209550</xdr:rowOff>
    </xdr:from>
    <xdr:to>
      <xdr:col>11</xdr:col>
      <xdr:colOff>466725</xdr:colOff>
      <xdr:row>2</xdr:row>
      <xdr:rowOff>0</xdr:rowOff>
    </xdr:to>
    <xdr:sp macro="" textlink="" fLocksText="0">
      <xdr:nvSpPr>
        <xdr:cNvPr id="9" name="Text Box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 txBox="1">
          <a:spLocks noChangeArrowheads="1"/>
        </xdr:cNvSpPr>
      </xdr:nvSpPr>
      <xdr:spPr bwMode="auto">
        <a:xfrm>
          <a:off x="603885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Furação 1</a:t>
          </a:r>
        </a:p>
      </xdr:txBody>
    </xdr:sp>
    <xdr:clientData/>
  </xdr:twoCellAnchor>
  <xdr:twoCellAnchor>
    <xdr:from>
      <xdr:col>2</xdr:col>
      <xdr:colOff>342900</xdr:colOff>
      <xdr:row>0</xdr:row>
      <xdr:rowOff>104775</xdr:rowOff>
    </xdr:from>
    <xdr:to>
      <xdr:col>7</xdr:col>
      <xdr:colOff>152400</xdr:colOff>
      <xdr:row>2</xdr:row>
      <xdr:rowOff>123825</xdr:rowOff>
    </xdr:to>
    <xdr:sp macro="" textlink="" fLocksText="0">
      <xdr:nvSpPr>
        <xdr:cNvPr id="10" name="Text Box 12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 txBox="1">
          <a:spLocks noChangeArrowheads="1"/>
        </xdr:cNvSpPr>
      </xdr:nvSpPr>
      <xdr:spPr bwMode="auto">
        <a:xfrm>
          <a:off x="2352675" y="104775"/>
          <a:ext cx="2952750" cy="4762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400" b="1" i="0" u="none" strike="noStrike">
              <a:solidFill>
                <a:schemeClr val="bg1"/>
              </a:solidFill>
              <a:latin typeface="+mn-lt"/>
              <a:cs typeface="Arial"/>
            </a:rPr>
            <a:t>Tempo Estimado de Corte</a:t>
          </a:r>
        </a:p>
        <a:p>
          <a:pPr algn="ctr" rtl="0">
            <a:defRPr sz="1000"/>
          </a:pPr>
          <a:r>
            <a:rPr lang="pt-BR" sz="1400" b="1" i="0" u="none" strike="noStrike">
              <a:solidFill>
                <a:schemeClr val="bg1"/>
              </a:solidFill>
              <a:latin typeface="+mn-lt"/>
              <a:cs typeface="Arial"/>
            </a:rPr>
            <a:t>Máquina Laser</a:t>
          </a:r>
        </a:p>
        <a:p>
          <a:pPr algn="ctr" rtl="0">
            <a:defRPr sz="1000"/>
          </a:pPr>
          <a:endParaRPr lang="pt-BR" sz="1400" b="0" i="0" u="none" strike="noStrike">
            <a:solidFill>
              <a:schemeClr val="bg1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0</xdr:col>
      <xdr:colOff>733425</xdr:colOff>
      <xdr:row>2</xdr:row>
      <xdr:rowOff>133350</xdr:rowOff>
    </xdr:from>
    <xdr:to>
      <xdr:col>0</xdr:col>
      <xdr:colOff>933450</xdr:colOff>
      <xdr:row>3</xdr:row>
      <xdr:rowOff>171450</xdr:rowOff>
    </xdr:to>
    <xdr:sp macro="" textlink="">
      <xdr:nvSpPr>
        <xdr:cNvPr id="11" name="Seta para baixo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/>
      </xdr:nvSpPr>
      <xdr:spPr bwMode="auto">
        <a:xfrm>
          <a:off x="733425" y="5905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10</xdr:col>
      <xdr:colOff>266700</xdr:colOff>
      <xdr:row>2</xdr:row>
      <xdr:rowOff>95250</xdr:rowOff>
    </xdr:from>
    <xdr:to>
      <xdr:col>10</xdr:col>
      <xdr:colOff>466725</xdr:colOff>
      <xdr:row>3</xdr:row>
      <xdr:rowOff>133350</xdr:rowOff>
    </xdr:to>
    <xdr:sp macro="" textlink="">
      <xdr:nvSpPr>
        <xdr:cNvPr id="12" name="Seta para baixo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/>
      </xdr:nvSpPr>
      <xdr:spPr bwMode="auto">
        <a:xfrm>
          <a:off x="68484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>
    <xdr:from>
      <xdr:col>13</xdr:col>
      <xdr:colOff>238125</xdr:colOff>
      <xdr:row>0</xdr:row>
      <xdr:rowOff>209550</xdr:rowOff>
    </xdr:from>
    <xdr:to>
      <xdr:col>15</xdr:col>
      <xdr:colOff>485775</xdr:colOff>
      <xdr:row>2</xdr:row>
      <xdr:rowOff>0</xdr:rowOff>
    </xdr:to>
    <xdr:sp macro="" textlink="" fLocksText="0">
      <xdr:nvSpPr>
        <xdr:cNvPr id="13" name="Text Box 8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 txBox="1">
          <a:spLocks noChangeArrowheads="1"/>
        </xdr:cNvSpPr>
      </xdr:nvSpPr>
      <xdr:spPr bwMode="auto">
        <a:xfrm>
          <a:off x="9029700" y="209550"/>
          <a:ext cx="1771650" cy="247650"/>
        </a:xfrm>
        <a:prstGeom prst="rect">
          <a:avLst/>
        </a:prstGeom>
        <a:ln>
          <a:headEnd/>
          <a:tailEnd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36360" tIns="27360" rIns="36360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chemeClr val="bg1"/>
              </a:solidFill>
              <a:latin typeface="+mn-lt"/>
              <a:cs typeface="Arial"/>
            </a:rPr>
            <a:t>Furação 2</a:t>
          </a:r>
        </a:p>
      </xdr:txBody>
    </xdr:sp>
    <xdr:clientData/>
  </xdr:twoCellAnchor>
  <xdr:twoCellAnchor>
    <xdr:from>
      <xdr:col>14</xdr:col>
      <xdr:colOff>304800</xdr:colOff>
      <xdr:row>2</xdr:row>
      <xdr:rowOff>95250</xdr:rowOff>
    </xdr:from>
    <xdr:to>
      <xdr:col>14</xdr:col>
      <xdr:colOff>504825</xdr:colOff>
      <xdr:row>3</xdr:row>
      <xdr:rowOff>133350</xdr:rowOff>
    </xdr:to>
    <xdr:sp macro="" textlink="">
      <xdr:nvSpPr>
        <xdr:cNvPr id="14" name="Seta para baixo 13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SpPr/>
      </xdr:nvSpPr>
      <xdr:spPr bwMode="auto">
        <a:xfrm>
          <a:off x="9858375" y="552450"/>
          <a:ext cx="200025" cy="266700"/>
        </a:xfrm>
        <a:prstGeom prst="downArrow">
          <a:avLst/>
        </a:prstGeom>
        <a:ln>
          <a:headEnd type="none" w="med" len="med"/>
          <a:tailEnd type="none" w="med" len="med"/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xdr:twoCellAnchor editAs="oneCell">
    <xdr:from>
      <xdr:col>14</xdr:col>
      <xdr:colOff>161925</xdr:colOff>
      <xdr:row>19</xdr:row>
      <xdr:rowOff>9525</xdr:rowOff>
    </xdr:from>
    <xdr:to>
      <xdr:col>15</xdr:col>
      <xdr:colOff>790575</xdr:colOff>
      <xdr:row>20</xdr:row>
      <xdr:rowOff>218307</xdr:rowOff>
    </xdr:to>
    <xdr:pic>
      <xdr:nvPicPr>
        <xdr:cNvPr id="15" name="Imagem 14" descr="botao_voltar (2).gif">
          <a:hlinkClick xmlns:r="http://schemas.openxmlformats.org/officeDocument/2006/relationships" r:id="rId1" tooltip="Clique aqui para voltar ao menu principal"/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15500" y="4352925"/>
          <a:ext cx="1390650" cy="437382"/>
        </a:xfrm>
        <a:prstGeom prst="rect">
          <a:avLst/>
        </a:prstGeom>
        <a:solidFill>
          <a:schemeClr val="bg2">
            <a:lumMod val="90000"/>
          </a:schemeClr>
        </a:solidFill>
        <a:ln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2700000" scaled="1"/>
            <a:tileRect/>
          </a:gradFill>
        </a:ln>
        <a:effectLst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142873</xdr:colOff>
      <xdr:row>0</xdr:row>
      <xdr:rowOff>123825</xdr:rowOff>
    </xdr:from>
    <xdr:to>
      <xdr:col>3</xdr:col>
      <xdr:colOff>590549</xdr:colOff>
      <xdr:row>5</xdr:row>
      <xdr:rowOff>28575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9C0C492-5369-4029-AB75-10F58A50B0DD}"/>
            </a:ext>
          </a:extLst>
        </xdr:cNvPr>
        <xdr:cNvSpPr txBox="1"/>
      </xdr:nvSpPr>
      <xdr:spPr>
        <a:xfrm>
          <a:off x="142873" y="123825"/>
          <a:ext cx="1809751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ESPESSURA</a:t>
          </a:r>
        </a:p>
      </xdr:txBody>
    </xdr:sp>
    <xdr:clientData/>
  </xdr:twoCellAnchor>
  <xdr:twoCellAnchor>
    <xdr:from>
      <xdr:col>2</xdr:col>
      <xdr:colOff>200026</xdr:colOff>
      <xdr:row>5</xdr:row>
      <xdr:rowOff>85725</xdr:rowOff>
    </xdr:from>
    <xdr:to>
      <xdr:col>2</xdr:col>
      <xdr:colOff>428626</xdr:colOff>
      <xdr:row>7</xdr:row>
      <xdr:rowOff>76200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992ADB26-5F4E-4CC6-BA68-9B9429D20799}"/>
            </a:ext>
          </a:extLst>
        </xdr:cNvPr>
        <xdr:cNvSpPr/>
      </xdr:nvSpPr>
      <xdr:spPr>
        <a:xfrm>
          <a:off x="952501" y="103822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57150</xdr:colOff>
      <xdr:row>0</xdr:row>
      <xdr:rowOff>133350</xdr:rowOff>
    </xdr:from>
    <xdr:to>
      <xdr:col>7</xdr:col>
      <xdr:colOff>466726</xdr:colOff>
      <xdr:row>5</xdr:row>
      <xdr:rowOff>38100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5A0DE64-B082-49C7-84DF-0E4309BFD318}"/>
            </a:ext>
          </a:extLst>
        </xdr:cNvPr>
        <xdr:cNvSpPr txBox="1"/>
      </xdr:nvSpPr>
      <xdr:spPr>
        <a:xfrm>
          <a:off x="2638425" y="133350"/>
          <a:ext cx="1809751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RAIO </a:t>
          </a:r>
        </a:p>
        <a:p>
          <a:pPr algn="ctr"/>
          <a:r>
            <a:rPr lang="pt-BR" sz="1800" b="1">
              <a:solidFill>
                <a:schemeClr val="bg1"/>
              </a:solidFill>
            </a:rPr>
            <a:t>INTERNO</a:t>
          </a:r>
        </a:p>
      </xdr:txBody>
    </xdr:sp>
    <xdr:clientData/>
  </xdr:twoCellAnchor>
  <xdr:twoCellAnchor>
    <xdr:from>
      <xdr:col>6</xdr:col>
      <xdr:colOff>76200</xdr:colOff>
      <xdr:row>5</xdr:row>
      <xdr:rowOff>104775</xdr:rowOff>
    </xdr:from>
    <xdr:to>
      <xdr:col>6</xdr:col>
      <xdr:colOff>304800</xdr:colOff>
      <xdr:row>7</xdr:row>
      <xdr:rowOff>95250</xdr:rowOff>
    </xdr:to>
    <xdr:sp macro="" textlink="">
      <xdr:nvSpPr>
        <xdr:cNvPr id="6" name="Seta: para Baixo 5">
          <a:extLst>
            <a:ext uri="{FF2B5EF4-FFF2-40B4-BE49-F238E27FC236}">
              <a16:creationId xmlns:a16="http://schemas.microsoft.com/office/drawing/2014/main" id="{12EE160D-7F51-418C-8B19-7C761C45E74B}"/>
            </a:ext>
          </a:extLst>
        </xdr:cNvPr>
        <xdr:cNvSpPr/>
      </xdr:nvSpPr>
      <xdr:spPr>
        <a:xfrm>
          <a:off x="3448050" y="105727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421342</xdr:colOff>
      <xdr:row>19</xdr:row>
      <xdr:rowOff>51547</xdr:rowOff>
    </xdr:from>
    <xdr:to>
      <xdr:col>8</xdr:col>
      <xdr:colOff>249891</xdr:colOff>
      <xdr:row>20</xdr:row>
      <xdr:rowOff>186561</xdr:rowOff>
    </xdr:to>
    <xdr:pic>
      <xdr:nvPicPr>
        <xdr:cNvPr id="7" name="Imagem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246DFC-2A1D-446C-8C3F-60D952D2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3107" y="3671047"/>
          <a:ext cx="1038784" cy="325514"/>
        </a:xfrm>
        <a:prstGeom prst="rect">
          <a:avLst/>
        </a:prstGeom>
      </xdr:spPr>
    </xdr:pic>
    <xdr:clientData/>
  </xdr:twoCellAnchor>
  <xdr:twoCellAnchor editAs="oneCell">
    <xdr:from>
      <xdr:col>9</xdr:col>
      <xdr:colOff>560293</xdr:colOff>
      <xdr:row>4</xdr:row>
      <xdr:rowOff>72479</xdr:rowOff>
    </xdr:from>
    <xdr:to>
      <xdr:col>15</xdr:col>
      <xdr:colOff>515470</xdr:colOff>
      <xdr:row>18</xdr:row>
      <xdr:rowOff>140849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C26FB92-AEE6-4B21-9528-9C60A9116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7411" y="834479"/>
          <a:ext cx="3585883" cy="2735370"/>
        </a:xfrm>
        <a:prstGeom prst="rect">
          <a:avLst/>
        </a:prstGeom>
      </xdr:spPr>
    </xdr:pic>
    <xdr:clientData/>
  </xdr:twoCellAnchor>
  <xdr:twoCellAnchor editAs="oneCell">
    <xdr:from>
      <xdr:col>17</xdr:col>
      <xdr:colOff>11206</xdr:colOff>
      <xdr:row>4</xdr:row>
      <xdr:rowOff>56029</xdr:rowOff>
    </xdr:from>
    <xdr:to>
      <xdr:col>22</xdr:col>
      <xdr:colOff>432356</xdr:colOff>
      <xdr:row>19</xdr:row>
      <xdr:rowOff>74719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705C9923-0192-4FB1-A49E-C4D6C949C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29265" y="818029"/>
          <a:ext cx="3446738" cy="287619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142873</xdr:colOff>
      <xdr:row>0</xdr:row>
      <xdr:rowOff>123825</xdr:rowOff>
    </xdr:from>
    <xdr:to>
      <xdr:col>3</xdr:col>
      <xdr:colOff>590549</xdr:colOff>
      <xdr:row>5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1B46003-4B3C-4EC0-9B0E-7AA1ACB8F37F}"/>
            </a:ext>
          </a:extLst>
        </xdr:cNvPr>
        <xdr:cNvSpPr txBox="1"/>
      </xdr:nvSpPr>
      <xdr:spPr>
        <a:xfrm>
          <a:off x="142873" y="123825"/>
          <a:ext cx="1809751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PESO TOTAL BOBINA (kg)</a:t>
          </a:r>
        </a:p>
      </xdr:txBody>
    </xdr:sp>
    <xdr:clientData/>
  </xdr:twoCellAnchor>
  <xdr:twoCellAnchor>
    <xdr:from>
      <xdr:col>2</xdr:col>
      <xdr:colOff>200026</xdr:colOff>
      <xdr:row>5</xdr:row>
      <xdr:rowOff>85725</xdr:rowOff>
    </xdr:from>
    <xdr:to>
      <xdr:col>2</xdr:col>
      <xdr:colOff>428626</xdr:colOff>
      <xdr:row>7</xdr:row>
      <xdr:rowOff>76200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5B224465-96B7-481C-8A36-47FED2A14D09}"/>
            </a:ext>
          </a:extLst>
        </xdr:cNvPr>
        <xdr:cNvSpPr/>
      </xdr:nvSpPr>
      <xdr:spPr>
        <a:xfrm>
          <a:off x="952501" y="103822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85725</xdr:colOff>
      <xdr:row>0</xdr:row>
      <xdr:rowOff>123825</xdr:rowOff>
    </xdr:from>
    <xdr:to>
      <xdr:col>7</xdr:col>
      <xdr:colOff>495301</xdr:colOff>
      <xdr:row>5</xdr:row>
      <xdr:rowOff>28575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496D681E-C565-41D6-91C6-52209C9C8CB8}"/>
            </a:ext>
          </a:extLst>
        </xdr:cNvPr>
        <xdr:cNvSpPr txBox="1"/>
      </xdr:nvSpPr>
      <xdr:spPr>
        <a:xfrm>
          <a:off x="2667000" y="123825"/>
          <a:ext cx="1809751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ESPESSURA</a:t>
          </a:r>
        </a:p>
        <a:p>
          <a:pPr algn="ctr"/>
          <a:r>
            <a:rPr lang="pt-BR" sz="1800" b="1">
              <a:solidFill>
                <a:schemeClr val="bg1"/>
              </a:solidFill>
            </a:rPr>
            <a:t>(mm)</a:t>
          </a:r>
        </a:p>
      </xdr:txBody>
    </xdr:sp>
    <xdr:clientData/>
  </xdr:twoCellAnchor>
  <xdr:twoCellAnchor>
    <xdr:from>
      <xdr:col>6</xdr:col>
      <xdr:colOff>76200</xdr:colOff>
      <xdr:row>5</xdr:row>
      <xdr:rowOff>104775</xdr:rowOff>
    </xdr:from>
    <xdr:to>
      <xdr:col>6</xdr:col>
      <xdr:colOff>304800</xdr:colOff>
      <xdr:row>7</xdr:row>
      <xdr:rowOff>95250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ECC38839-4794-43A8-A56F-3D803E3D30F3}"/>
            </a:ext>
          </a:extLst>
        </xdr:cNvPr>
        <xdr:cNvSpPr/>
      </xdr:nvSpPr>
      <xdr:spPr>
        <a:xfrm>
          <a:off x="3448050" y="105727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20</xdr:col>
      <xdr:colOff>145117</xdr:colOff>
      <xdr:row>22</xdr:row>
      <xdr:rowOff>70597</xdr:rowOff>
    </xdr:from>
    <xdr:to>
      <xdr:col>21</xdr:col>
      <xdr:colOff>583266</xdr:colOff>
      <xdr:row>24</xdr:row>
      <xdr:rowOff>15111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72CB1-B41A-483C-9F63-8E41771B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51367" y="4261597"/>
          <a:ext cx="1047749" cy="325514"/>
        </a:xfrm>
        <a:prstGeom prst="rect">
          <a:avLst/>
        </a:prstGeom>
      </xdr:spPr>
    </xdr:pic>
    <xdr:clientData/>
  </xdr:twoCellAnchor>
  <xdr:twoCellAnchor>
    <xdr:from>
      <xdr:col>8</xdr:col>
      <xdr:colOff>504825</xdr:colOff>
      <xdr:row>0</xdr:row>
      <xdr:rowOff>123825</xdr:rowOff>
    </xdr:from>
    <xdr:to>
      <xdr:col>12</xdr:col>
      <xdr:colOff>95250</xdr:colOff>
      <xdr:row>5</xdr:row>
      <xdr:rowOff>28575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32D8DA5-D5FD-47A5-A64F-3270A03ABE2C}"/>
            </a:ext>
          </a:extLst>
        </xdr:cNvPr>
        <xdr:cNvSpPr txBox="1"/>
      </xdr:nvSpPr>
      <xdr:spPr>
        <a:xfrm>
          <a:off x="5095875" y="123825"/>
          <a:ext cx="2028825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LARGURA BOBINA</a:t>
          </a:r>
        </a:p>
        <a:p>
          <a:pPr algn="ctr"/>
          <a:r>
            <a:rPr lang="pt-BR" sz="1800" b="1">
              <a:solidFill>
                <a:schemeClr val="bg1"/>
              </a:solidFill>
            </a:rPr>
            <a:t>(mm)</a:t>
          </a:r>
        </a:p>
      </xdr:txBody>
    </xdr:sp>
    <xdr:clientData/>
  </xdr:twoCellAnchor>
  <xdr:twoCellAnchor>
    <xdr:from>
      <xdr:col>12</xdr:col>
      <xdr:colOff>561975</xdr:colOff>
      <xdr:row>0</xdr:row>
      <xdr:rowOff>123825</xdr:rowOff>
    </xdr:from>
    <xdr:to>
      <xdr:col>16</xdr:col>
      <xdr:colOff>19050</xdr:colOff>
      <xdr:row>5</xdr:row>
      <xdr:rowOff>28575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125D6854-F4A7-432D-BA2E-4AD3BF1BD2C3}"/>
            </a:ext>
          </a:extLst>
        </xdr:cNvPr>
        <xdr:cNvSpPr txBox="1"/>
      </xdr:nvSpPr>
      <xdr:spPr>
        <a:xfrm>
          <a:off x="7591425" y="123825"/>
          <a:ext cx="1895475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LARGURA SLITER</a:t>
          </a:r>
        </a:p>
        <a:p>
          <a:pPr algn="ctr"/>
          <a:r>
            <a:rPr lang="pt-BR" sz="1800" b="1">
              <a:solidFill>
                <a:schemeClr val="bg1"/>
              </a:solidFill>
            </a:rPr>
            <a:t>(mm)</a:t>
          </a:r>
        </a:p>
      </xdr:txBody>
    </xdr:sp>
    <xdr:clientData/>
  </xdr:twoCellAnchor>
  <xdr:twoCellAnchor>
    <xdr:from>
      <xdr:col>16</xdr:col>
      <xdr:colOff>590550</xdr:colOff>
      <xdr:row>0</xdr:row>
      <xdr:rowOff>133350</xdr:rowOff>
    </xdr:from>
    <xdr:to>
      <xdr:col>19</xdr:col>
      <xdr:colOff>571501</xdr:colOff>
      <xdr:row>5</xdr:row>
      <xdr:rowOff>38100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943E2D92-5B00-4492-B510-485B7EB4FB6D}"/>
            </a:ext>
          </a:extLst>
        </xdr:cNvPr>
        <xdr:cNvSpPr txBox="1"/>
      </xdr:nvSpPr>
      <xdr:spPr>
        <a:xfrm>
          <a:off x="10058400" y="133350"/>
          <a:ext cx="1809751" cy="857250"/>
        </a:xfrm>
        <a:prstGeom prst="roundRect">
          <a:avLst/>
        </a:prstGeom>
        <a:gradFill flip="none" rotWithShape="1">
          <a:gsLst>
            <a:gs pos="0">
              <a:srgbClr val="275EA1"/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PASSO</a:t>
          </a:r>
        </a:p>
        <a:p>
          <a:pPr algn="ctr"/>
          <a:r>
            <a:rPr lang="pt-BR" sz="1800" b="1">
              <a:solidFill>
                <a:schemeClr val="bg1"/>
              </a:solidFill>
            </a:rPr>
            <a:t>(mm)</a:t>
          </a:r>
        </a:p>
      </xdr:txBody>
    </xdr:sp>
    <xdr:clientData/>
  </xdr:twoCellAnchor>
  <xdr:twoCellAnchor>
    <xdr:from>
      <xdr:col>10</xdr:col>
      <xdr:colOff>190500</xdr:colOff>
      <xdr:row>5</xdr:row>
      <xdr:rowOff>123825</xdr:rowOff>
    </xdr:from>
    <xdr:to>
      <xdr:col>10</xdr:col>
      <xdr:colOff>419100</xdr:colOff>
      <xdr:row>7</xdr:row>
      <xdr:rowOff>114300</xdr:rowOff>
    </xdr:to>
    <xdr:sp macro="" textlink="">
      <xdr:nvSpPr>
        <xdr:cNvPr id="12" name="Seta: para Baixo 11">
          <a:extLst>
            <a:ext uri="{FF2B5EF4-FFF2-40B4-BE49-F238E27FC236}">
              <a16:creationId xmlns:a16="http://schemas.microsoft.com/office/drawing/2014/main" id="{3C71269D-C35B-47A3-A45F-9A64F10427D4}"/>
            </a:ext>
          </a:extLst>
        </xdr:cNvPr>
        <xdr:cNvSpPr/>
      </xdr:nvSpPr>
      <xdr:spPr>
        <a:xfrm>
          <a:off x="6000750" y="107632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180975</xdr:colOff>
      <xdr:row>5</xdr:row>
      <xdr:rowOff>142875</xdr:rowOff>
    </xdr:from>
    <xdr:to>
      <xdr:col>14</xdr:col>
      <xdr:colOff>409575</xdr:colOff>
      <xdr:row>7</xdr:row>
      <xdr:rowOff>133350</xdr:rowOff>
    </xdr:to>
    <xdr:sp macro="" textlink="">
      <xdr:nvSpPr>
        <xdr:cNvPr id="13" name="Seta: para Baixo 12">
          <a:extLst>
            <a:ext uri="{FF2B5EF4-FFF2-40B4-BE49-F238E27FC236}">
              <a16:creationId xmlns:a16="http://schemas.microsoft.com/office/drawing/2014/main" id="{396D478F-5882-45CD-8DB9-29221FD20079}"/>
            </a:ext>
          </a:extLst>
        </xdr:cNvPr>
        <xdr:cNvSpPr/>
      </xdr:nvSpPr>
      <xdr:spPr>
        <a:xfrm>
          <a:off x="8429625" y="109537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219075</xdr:colOff>
      <xdr:row>5</xdr:row>
      <xdr:rowOff>123825</xdr:rowOff>
    </xdr:from>
    <xdr:to>
      <xdr:col>18</xdr:col>
      <xdr:colOff>447675</xdr:colOff>
      <xdr:row>7</xdr:row>
      <xdr:rowOff>114300</xdr:rowOff>
    </xdr:to>
    <xdr:sp macro="" textlink="">
      <xdr:nvSpPr>
        <xdr:cNvPr id="14" name="Seta: para Baixo 13">
          <a:extLst>
            <a:ext uri="{FF2B5EF4-FFF2-40B4-BE49-F238E27FC236}">
              <a16:creationId xmlns:a16="http://schemas.microsoft.com/office/drawing/2014/main" id="{9236A849-C975-48BC-A5F3-86A636D0917D}"/>
            </a:ext>
          </a:extLst>
        </xdr:cNvPr>
        <xdr:cNvSpPr/>
      </xdr:nvSpPr>
      <xdr:spPr>
        <a:xfrm>
          <a:off x="10906125" y="1076325"/>
          <a:ext cx="228600" cy="371475"/>
        </a:xfrm>
        <a:prstGeom prst="downArrow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m\documentos\Engenharia\EQUIPE%20DA%20ENG&#170;\FELIPE%20MARCIANO\PLANILHAS%20DE%20C&#193;LCULO%20(ALTERA&#199;&#213;ES%20E%20BACKUP)\Planilhas%20de%20C&#225;lculo%20para%20Engenharia%20(V.9_18.10.201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dm\documentos\Engenharia\PLANILHAS%20DE%20C&#193;LCULO\CALCULO%20PLASTICOS%20new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elipe\tes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aio Médio"/>
      <sheetName val="Tubo Redondo"/>
      <sheetName val="Tubo Quadrado"/>
      <sheetName val="Tubo Retangular"/>
      <sheetName val="Conversão mm x in"/>
      <sheetName val="Cálculo Sobra Tubos"/>
      <sheetName val="Barra Redonda"/>
      <sheetName val="Barra Quadrada"/>
      <sheetName val="Barra Sextavada"/>
      <sheetName val="Chapa Circular"/>
      <sheetName val="Definir Prensa"/>
      <sheetName val="Plástico Bolha"/>
      <sheetName val="ø para Perímetro"/>
      <sheetName val="Volume"/>
      <sheetName val="Túnel Pintura"/>
      <sheetName val="Pintura Pistola"/>
      <sheetName val="Tempo Pintura Pistola"/>
      <sheetName val="Tempo Túnel Pintura"/>
      <sheetName val="Tinta AGCO"/>
      <sheetName val="Peso Chapas Plásticas"/>
      <sheetName val="Custo Mão de Obra Plásticos"/>
      <sheetName val="Corte Laser 2D"/>
      <sheetName val="Aproveitamento Chapas"/>
      <sheetName val="Tinta + Fundo AGCO"/>
      <sheetName val="Tempos EMS"/>
      <sheetName val="Quantidade Tinta Pó"/>
      <sheetName val="Ativar Macros"/>
      <sheetName val="Botões Menu"/>
      <sheetName val="Perfil T"/>
      <sheetName val="Vigas U"/>
      <sheetName val="Vigas I"/>
      <sheetName val="Cantoneiras"/>
      <sheetName val="Desenvolvimento de Chapas"/>
      <sheetName val="Ferro Chato"/>
      <sheetName val="Aproveitamento + Guilhoti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SO CHAPAS"/>
      <sheetName val="CUSTO MO"/>
    </sheetNames>
    <sheetDataSet>
      <sheetData sheetId="0"/>
      <sheetData sheetId="1">
        <row r="7">
          <cell r="K7">
            <v>1.6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aio Médio"/>
      <sheetName val="Tubo Redondo"/>
      <sheetName val="Tubo Quadrado"/>
      <sheetName val="Tubo Retangular"/>
      <sheetName val="Conversão mm x in"/>
      <sheetName val="Cálculo Sobra Tubos"/>
      <sheetName val="Barra Redonda"/>
      <sheetName val="Barra Quadrada"/>
      <sheetName val="Barra Sextavada"/>
      <sheetName val="Chapa Circular"/>
      <sheetName val="Definir Prensa"/>
      <sheetName val="Plástico Bolha"/>
      <sheetName val="ø para Perímetro"/>
      <sheetName val="Volume"/>
      <sheetName val="Túnel Pintura"/>
      <sheetName val="Pintura Pistola"/>
      <sheetName val="Tempo Pintura Pistola"/>
      <sheetName val="Tempo Túnel Pintura"/>
      <sheetName val="Tinta AGCO"/>
      <sheetName val="Peso Chapas Plásticas"/>
      <sheetName val="Custo Mão de Obra Plásticos"/>
      <sheetName val="Aproveitamento Chapas"/>
      <sheetName val="Tinta + Fundo AGCO"/>
      <sheetName val="Tempos EMS"/>
      <sheetName val="Quantidade Tinta Pó"/>
      <sheetName val="Ativar Macros"/>
      <sheetName val="Botões Menu"/>
      <sheetName val="Perfil T"/>
      <sheetName val="Vigas U"/>
      <sheetName val="Vigas I"/>
      <sheetName val="Cantoneiras"/>
      <sheetName val="Desenvolvimento de Chapas"/>
      <sheetName val="Ferro Chato"/>
      <sheetName val="Aproveitamento + Guilhotina"/>
      <sheetName val="Corte Laser 2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../../emerson.pagel/AppData/Roaming/Microsoft/Excel/EQUIPE%20DA%20ENG&#170;/MAICON%20PASQUALI/BOLETIM%20TINTAS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U76"/>
  <sheetViews>
    <sheetView showGridLines="0" showRowColHeaders="0" zoomScaleNormal="100" workbookViewId="0">
      <selection activeCell="O24" sqref="O24"/>
    </sheetView>
  </sheetViews>
  <sheetFormatPr defaultColWidth="0" defaultRowHeight="15" zeroHeight="1" x14ac:dyDescent="0.25"/>
  <cols>
    <col min="1" max="21" width="9.140625" customWidth="1"/>
    <col min="22" max="16384" width="9.140625" hidden="1"/>
  </cols>
  <sheetData>
    <row r="1" spans="1:20" ht="21" x14ac:dyDescent="0.35">
      <c r="A1" s="649"/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</row>
    <row r="2" spans="1:20" ht="21" x14ac:dyDescent="0.35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</row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6:18" x14ac:dyDescent="0.25"/>
    <row r="18" spans="16:18" x14ac:dyDescent="0.25"/>
    <row r="19" spans="16:18" x14ac:dyDescent="0.25"/>
    <row r="20" spans="16:18" x14ac:dyDescent="0.25"/>
    <row r="21" spans="16:18" x14ac:dyDescent="0.25"/>
    <row r="22" spans="16:18" x14ac:dyDescent="0.25"/>
    <row r="23" spans="16:18" x14ac:dyDescent="0.25"/>
    <row r="24" spans="16:18" x14ac:dyDescent="0.25"/>
    <row r="25" spans="16:18" x14ac:dyDescent="0.25"/>
    <row r="26" spans="16:18" x14ac:dyDescent="0.25">
      <c r="P26" s="650">
        <f ca="1">NOW()</f>
        <v>46323.587307870373</v>
      </c>
      <c r="Q26" s="651"/>
      <c r="R26" s="651"/>
    </row>
    <row r="27" spans="16:18" x14ac:dyDescent="0.25"/>
    <row r="28" spans="16:18" x14ac:dyDescent="0.25"/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  <row r="39" customFormat="1" hidden="1" x14ac:dyDescent="0.25"/>
    <row r="40" customFormat="1" hidden="1" x14ac:dyDescent="0.25"/>
    <row r="41" customFormat="1" hidden="1" x14ac:dyDescent="0.25"/>
    <row r="42" customFormat="1" hidden="1" x14ac:dyDescent="0.25"/>
    <row r="43" customFormat="1" hidden="1" x14ac:dyDescent="0.25"/>
    <row r="44" customFormat="1" hidden="1" x14ac:dyDescent="0.25"/>
    <row r="45" customFormat="1" hidden="1" x14ac:dyDescent="0.25"/>
    <row r="46" customFormat="1" hidden="1" x14ac:dyDescent="0.25"/>
    <row r="47" customFormat="1" hidden="1" x14ac:dyDescent="0.25"/>
    <row r="48" customFormat="1" hidden="1" x14ac:dyDescent="0.25"/>
    <row r="49" customFormat="1" hidden="1" x14ac:dyDescent="0.25"/>
    <row r="50" customFormat="1" hidden="1" x14ac:dyDescent="0.25"/>
    <row r="51" customFormat="1" hidden="1" x14ac:dyDescent="0.25"/>
    <row r="52" customFormat="1" hidden="1" x14ac:dyDescent="0.25"/>
    <row r="53" customFormat="1" hidden="1" x14ac:dyDescent="0.25"/>
    <row r="54" customFormat="1" hidden="1" x14ac:dyDescent="0.25"/>
    <row r="55" customFormat="1" hidden="1" x14ac:dyDescent="0.25"/>
    <row r="56" customFormat="1" hidden="1" x14ac:dyDescent="0.25"/>
    <row r="57" customFormat="1" hidden="1" x14ac:dyDescent="0.25"/>
    <row r="58" customFormat="1" hidden="1" x14ac:dyDescent="0.25"/>
    <row r="59" customFormat="1" hidden="1" x14ac:dyDescent="0.25"/>
    <row r="60" customFormat="1" hidden="1" x14ac:dyDescent="0.25"/>
    <row r="61" customFormat="1" hidden="1" x14ac:dyDescent="0.25"/>
    <row r="62" customFormat="1" hidden="1" x14ac:dyDescent="0.25"/>
    <row r="63" customFormat="1" hidden="1" x14ac:dyDescent="0.25"/>
    <row r="64" customFormat="1" hidden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  <row r="75" customFormat="1" hidden="1" x14ac:dyDescent="0.25"/>
    <row r="76" customFormat="1" hidden="1" x14ac:dyDescent="0.25"/>
  </sheetData>
  <sheetProtection sheet="1" selectLockedCells="1" selectUnlockedCells="1"/>
  <mergeCells count="2">
    <mergeCell ref="A1:T1"/>
    <mergeCell ref="P26:R2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B1:M22"/>
  <sheetViews>
    <sheetView showGridLines="0" showRowColHeaders="0" workbookViewId="0">
      <selection activeCell="E4" sqref="E4"/>
    </sheetView>
  </sheetViews>
  <sheetFormatPr defaultRowHeight="15" x14ac:dyDescent="0.25"/>
  <cols>
    <col min="3" max="3" width="14.140625" customWidth="1"/>
    <col min="4" max="4" width="18.140625" customWidth="1"/>
    <col min="5" max="5" width="15.85546875" customWidth="1"/>
    <col min="6" max="6" width="25.85546875" customWidth="1"/>
    <col min="9" max="9" width="4.85546875" customWidth="1"/>
    <col min="10" max="10" width="11" bestFit="1" customWidth="1"/>
    <col min="12" max="12" width="11.85546875" bestFit="1" customWidth="1"/>
  </cols>
  <sheetData>
    <row r="1" spans="2:13" ht="27" customHeight="1" thickBot="1" x14ac:dyDescent="0.3">
      <c r="B1" s="654" t="s">
        <v>9</v>
      </c>
      <c r="C1" s="655"/>
      <c r="D1" s="655"/>
      <c r="E1" s="655"/>
      <c r="F1" s="655"/>
      <c r="G1" s="655"/>
      <c r="H1" s="655"/>
      <c r="I1" s="655"/>
      <c r="J1" s="656"/>
    </row>
    <row r="2" spans="2:13" x14ac:dyDescent="0.25">
      <c r="B2" s="20"/>
      <c r="C2" s="19"/>
      <c r="D2" s="19"/>
      <c r="E2" s="19"/>
      <c r="F2" s="19"/>
      <c r="G2" s="19"/>
      <c r="H2" s="19"/>
      <c r="I2" s="24"/>
      <c r="J2" s="25" t="s">
        <v>8</v>
      </c>
      <c r="K2" s="21" t="s">
        <v>7</v>
      </c>
      <c r="L2" s="21" t="s">
        <v>6</v>
      </c>
      <c r="M2" s="22"/>
    </row>
    <row r="3" spans="2:13" x14ac:dyDescent="0.25">
      <c r="B3" s="17"/>
      <c r="C3" s="16"/>
      <c r="D3" s="18" t="s">
        <v>5</v>
      </c>
      <c r="E3" s="18" t="s">
        <v>2</v>
      </c>
      <c r="F3" s="653" t="s">
        <v>0</v>
      </c>
      <c r="G3" s="653"/>
      <c r="H3" s="653"/>
      <c r="I3" s="26"/>
      <c r="J3" s="23">
        <f>(K3/2)+L3</f>
        <v>200.8</v>
      </c>
      <c r="K3" s="21">
        <v>101.6</v>
      </c>
      <c r="L3" s="21">
        <v>150</v>
      </c>
      <c r="M3" s="22"/>
    </row>
    <row r="4" spans="2:13" ht="24" customHeight="1" x14ac:dyDescent="0.35">
      <c r="B4" s="17"/>
      <c r="C4" s="16"/>
      <c r="D4" s="33">
        <v>147</v>
      </c>
      <c r="E4" s="33">
        <v>90</v>
      </c>
      <c r="F4" s="652">
        <f>(3.1415*D4)*(E4/180)</f>
        <v>230.90025</v>
      </c>
      <c r="G4" s="652"/>
      <c r="H4" s="652"/>
      <c r="I4" s="16"/>
      <c r="J4" s="15"/>
      <c r="K4" s="22"/>
      <c r="L4" s="22"/>
      <c r="M4" s="22"/>
    </row>
    <row r="5" spans="2:13" x14ac:dyDescent="0.25">
      <c r="B5" s="17"/>
      <c r="C5" s="16"/>
      <c r="D5" s="16"/>
      <c r="E5" s="16"/>
      <c r="F5" s="652"/>
      <c r="G5" s="652"/>
      <c r="H5" s="652"/>
      <c r="I5" s="16"/>
      <c r="J5" s="15"/>
    </row>
    <row r="6" spans="2:13" x14ac:dyDescent="0.25">
      <c r="B6" s="17"/>
      <c r="C6" s="16"/>
      <c r="D6" s="16"/>
      <c r="E6" s="16"/>
      <c r="F6" s="652"/>
      <c r="G6" s="652"/>
      <c r="H6" s="652"/>
      <c r="I6" s="16"/>
      <c r="J6" s="15"/>
    </row>
    <row r="7" spans="2:13" x14ac:dyDescent="0.25">
      <c r="B7" s="17"/>
      <c r="C7" s="16"/>
      <c r="D7" s="16"/>
      <c r="E7" s="16"/>
      <c r="F7" s="16"/>
      <c r="G7" s="16"/>
      <c r="H7" s="16"/>
      <c r="I7" s="16"/>
      <c r="J7" s="15"/>
    </row>
    <row r="8" spans="2:13" x14ac:dyDescent="0.25">
      <c r="B8" s="17"/>
      <c r="C8" s="16"/>
      <c r="D8" s="16"/>
      <c r="E8" s="16"/>
      <c r="F8" s="16"/>
      <c r="G8" s="16"/>
      <c r="H8" s="16"/>
      <c r="I8" s="16"/>
      <c r="J8" s="15"/>
      <c r="M8" s="81"/>
    </row>
    <row r="9" spans="2:13" x14ac:dyDescent="0.25">
      <c r="B9" s="17"/>
      <c r="C9" s="16"/>
      <c r="D9" s="16"/>
      <c r="E9" s="16"/>
      <c r="F9" s="16"/>
      <c r="G9" s="16"/>
      <c r="H9" s="16"/>
      <c r="I9" s="16"/>
      <c r="J9" s="15"/>
    </row>
    <row r="10" spans="2:13" ht="15.75" thickBot="1" x14ac:dyDescent="0.3">
      <c r="B10" s="14"/>
      <c r="C10" s="13"/>
      <c r="D10" s="13"/>
      <c r="E10" s="13"/>
      <c r="F10" s="13"/>
      <c r="G10" s="13"/>
      <c r="H10" s="13"/>
      <c r="I10" s="13"/>
      <c r="J10" s="12"/>
    </row>
    <row r="12" spans="2:13" ht="15.75" thickBot="1" x14ac:dyDescent="0.3"/>
    <row r="13" spans="2:13" ht="27" customHeight="1" thickBot="1" x14ac:dyDescent="0.3">
      <c r="B13" s="654" t="s">
        <v>4</v>
      </c>
      <c r="C13" s="655"/>
      <c r="D13" s="655"/>
      <c r="E13" s="655"/>
      <c r="F13" s="655"/>
      <c r="G13" s="655"/>
      <c r="H13" s="655"/>
      <c r="I13" s="655"/>
      <c r="J13" s="656"/>
    </row>
    <row r="14" spans="2:13" x14ac:dyDescent="0.25">
      <c r="B14" s="11"/>
      <c r="C14" s="10"/>
      <c r="D14" s="10"/>
      <c r="E14" s="10"/>
      <c r="F14" s="10"/>
      <c r="G14" s="10"/>
      <c r="H14" s="10"/>
      <c r="I14" s="10"/>
      <c r="J14" s="9"/>
    </row>
    <row r="15" spans="2:13" x14ac:dyDescent="0.25">
      <c r="B15" s="6"/>
      <c r="C15" s="5"/>
      <c r="D15" s="8" t="s">
        <v>3</v>
      </c>
      <c r="E15" s="8" t="s">
        <v>2</v>
      </c>
      <c r="F15" s="8" t="s">
        <v>1</v>
      </c>
      <c r="G15" s="7" t="s">
        <v>0</v>
      </c>
      <c r="H15" s="7"/>
      <c r="I15" s="7"/>
      <c r="J15" s="4"/>
    </row>
    <row r="16" spans="2:13" ht="24" customHeight="1" x14ac:dyDescent="0.35">
      <c r="B16" s="6"/>
      <c r="C16" s="5"/>
      <c r="D16" s="34">
        <v>159.19999999999999</v>
      </c>
      <c r="E16" s="34">
        <v>90</v>
      </c>
      <c r="F16" s="34">
        <v>101.6</v>
      </c>
      <c r="G16" s="657">
        <f>(((D16+(F16/2))*3.1415)*(E16/180))</f>
        <v>329.85750000000002</v>
      </c>
      <c r="H16" s="657"/>
      <c r="I16" s="657"/>
      <c r="J16" s="658"/>
    </row>
    <row r="17" spans="2:10" x14ac:dyDescent="0.25">
      <c r="B17" s="6"/>
      <c r="C17" s="5"/>
      <c r="D17" s="5"/>
      <c r="E17" s="5"/>
      <c r="F17" s="5"/>
      <c r="G17" s="657"/>
      <c r="H17" s="657"/>
      <c r="I17" s="657"/>
      <c r="J17" s="658"/>
    </row>
    <row r="18" spans="2:10" x14ac:dyDescent="0.25">
      <c r="B18" s="6"/>
      <c r="C18" s="5"/>
      <c r="D18" s="5"/>
      <c r="E18" s="5"/>
      <c r="F18" s="5"/>
      <c r="G18" s="657"/>
      <c r="H18" s="657"/>
      <c r="I18" s="657"/>
      <c r="J18" s="658"/>
    </row>
    <row r="19" spans="2:10" x14ac:dyDescent="0.25">
      <c r="B19" s="6"/>
      <c r="C19" s="5"/>
      <c r="D19" s="5"/>
      <c r="E19" s="5"/>
      <c r="F19" s="5"/>
      <c r="G19" s="5"/>
      <c r="H19" s="5"/>
      <c r="I19" s="5"/>
      <c r="J19" s="4"/>
    </row>
    <row r="20" spans="2:10" x14ac:dyDescent="0.25">
      <c r="B20" s="6"/>
      <c r="C20" s="5"/>
      <c r="D20" s="5"/>
      <c r="E20" s="5"/>
      <c r="F20" s="5"/>
      <c r="G20" s="5"/>
      <c r="H20" s="5"/>
      <c r="I20" s="5"/>
      <c r="J20" s="4"/>
    </row>
    <row r="21" spans="2:10" x14ac:dyDescent="0.25">
      <c r="B21" s="6"/>
      <c r="C21" s="5"/>
      <c r="D21" s="5"/>
      <c r="E21" s="5"/>
      <c r="F21" s="5"/>
      <c r="G21" s="5"/>
      <c r="H21" s="5"/>
      <c r="I21" s="5"/>
      <c r="J21" s="4"/>
    </row>
    <row r="22" spans="2:10" ht="15.75" thickBot="1" x14ac:dyDescent="0.3">
      <c r="B22" s="3"/>
      <c r="C22" s="2"/>
      <c r="D22" s="2"/>
      <c r="E22" s="2"/>
      <c r="F22" s="2"/>
      <c r="G22" s="2"/>
      <c r="H22" s="2"/>
      <c r="I22" s="2"/>
      <c r="J22" s="1"/>
    </row>
  </sheetData>
  <sheetProtection password="921C" sheet="1" objects="1" scenarios="1" selectLockedCells="1"/>
  <mergeCells count="5">
    <mergeCell ref="F4:H6"/>
    <mergeCell ref="F3:H3"/>
    <mergeCell ref="B13:J13"/>
    <mergeCell ref="G16:J18"/>
    <mergeCell ref="B1:J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BG35"/>
  <sheetViews>
    <sheetView showGridLines="0" showRowColHeaders="0" showZeros="0" showOutlineSymbols="0" workbookViewId="0">
      <selection activeCell="M16" sqref="M16"/>
    </sheetView>
  </sheetViews>
  <sheetFormatPr defaultColWidth="0" defaultRowHeight="15" customHeight="1" zeroHeight="1" x14ac:dyDescent="0.25"/>
  <cols>
    <col min="1" max="12" width="1.7109375" style="28" customWidth="1"/>
    <col min="13" max="13" width="13.42578125" style="27" bestFit="1" customWidth="1"/>
    <col min="14" max="14" width="14.28515625" style="28" bestFit="1" customWidth="1"/>
    <col min="15" max="15" width="9.7109375" style="28" bestFit="1" customWidth="1"/>
    <col min="16" max="16" width="17.28515625" style="28" bestFit="1" customWidth="1"/>
    <col min="17" max="17" width="15.42578125" style="28" bestFit="1" customWidth="1"/>
    <col min="18" max="45" width="1.7109375" style="28" customWidth="1"/>
    <col min="46" max="59" width="0" style="28" hidden="1" customWidth="1"/>
    <col min="60" max="16384" width="1.7109375" style="28" hidden="1"/>
  </cols>
  <sheetData>
    <row r="1" spans="13:19" x14ac:dyDescent="0.25"/>
    <row r="2" spans="13:19" x14ac:dyDescent="0.25"/>
    <row r="3" spans="13:19" x14ac:dyDescent="0.25"/>
    <row r="4" spans="13:19" x14ac:dyDescent="0.25"/>
    <row r="5" spans="13:19" x14ac:dyDescent="0.25">
      <c r="M5" s="659" t="s">
        <v>14</v>
      </c>
      <c r="N5" s="659"/>
      <c r="O5" s="659"/>
      <c r="P5" s="659"/>
      <c r="Q5" s="659"/>
      <c r="R5" s="659"/>
      <c r="S5" s="659"/>
    </row>
    <row r="6" spans="13:19" x14ac:dyDescent="0.25"/>
    <row r="7" spans="13:19" x14ac:dyDescent="0.25"/>
    <row r="8" spans="13:19" x14ac:dyDescent="0.25"/>
    <row r="9" spans="13:19" x14ac:dyDescent="0.25"/>
    <row r="10" spans="13:19" x14ac:dyDescent="0.25"/>
    <row r="11" spans="13:19" x14ac:dyDescent="0.25"/>
    <row r="12" spans="13:19" x14ac:dyDescent="0.25"/>
    <row r="13" spans="13:19" x14ac:dyDescent="0.25"/>
    <row r="14" spans="13:19" ht="15.75" thickBot="1" x14ac:dyDescent="0.3"/>
    <row r="15" spans="13:19" x14ac:dyDescent="0.25">
      <c r="M15" s="61" t="s">
        <v>10</v>
      </c>
      <c r="N15" s="62" t="s">
        <v>7</v>
      </c>
      <c r="O15" s="62" t="s">
        <v>11</v>
      </c>
      <c r="P15" s="62" t="s">
        <v>12</v>
      </c>
      <c r="Q15" s="63" t="s">
        <v>13</v>
      </c>
    </row>
    <row r="16" spans="13:19" ht="16.5" thickBot="1" x14ac:dyDescent="0.3">
      <c r="M16" s="29">
        <v>2</v>
      </c>
      <c r="N16" s="30">
        <v>30</v>
      </c>
      <c r="O16" s="64">
        <f>(N16/25.4)</f>
        <v>1.1811023622047245</v>
      </c>
      <c r="P16" s="31">
        <v>1395</v>
      </c>
      <c r="Q16" s="65">
        <f>((N16-M16)*M16)*(0.02466*P16)*1/1000</f>
        <v>1.9264392000000001</v>
      </c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sheetProtection password="921C" sheet="1" objects="1" scenarios="1" selectLockedCells="1"/>
  <mergeCells count="1">
    <mergeCell ref="M5:S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BC39"/>
  <sheetViews>
    <sheetView showGridLines="0" showRowColHeaders="0" showZeros="0" showOutlineSymbols="0" workbookViewId="0">
      <selection activeCell="Q16" sqref="Q16"/>
    </sheetView>
  </sheetViews>
  <sheetFormatPr defaultColWidth="0" defaultRowHeight="15" customHeight="1" zeroHeight="1" x14ac:dyDescent="0.25"/>
  <cols>
    <col min="1" max="12" width="1.7109375" style="28" customWidth="1"/>
    <col min="13" max="13" width="13.42578125" style="27" bestFit="1" customWidth="1"/>
    <col min="14" max="15" width="14.28515625" style="28" bestFit="1" customWidth="1"/>
    <col min="16" max="16" width="9.7109375" style="28" bestFit="1" customWidth="1"/>
    <col min="17" max="17" width="17.28515625" style="28" bestFit="1" customWidth="1"/>
    <col min="18" max="18" width="15.42578125" style="28" bestFit="1" customWidth="1"/>
    <col min="19" max="47" width="1.7109375" style="28" customWidth="1"/>
    <col min="48" max="55" width="0" style="28" hidden="1" customWidth="1"/>
    <col min="56" max="16384" width="1.7109375" style="28" hidden="1"/>
  </cols>
  <sheetData>
    <row r="1" spans="13:19" x14ac:dyDescent="0.25"/>
    <row r="2" spans="13:19" x14ac:dyDescent="0.25"/>
    <row r="3" spans="13:19" x14ac:dyDescent="0.25"/>
    <row r="4" spans="13:19" x14ac:dyDescent="0.25"/>
    <row r="5" spans="13:19" x14ac:dyDescent="0.25"/>
    <row r="6" spans="13:19" x14ac:dyDescent="0.25">
      <c r="M6" s="659" t="s">
        <v>16</v>
      </c>
      <c r="N6" s="659"/>
      <c r="O6" s="659"/>
      <c r="P6" s="659"/>
      <c r="Q6" s="659"/>
      <c r="R6" s="659"/>
      <c r="S6" s="659"/>
    </row>
    <row r="7" spans="13:19" x14ac:dyDescent="0.25">
      <c r="N7" s="27"/>
    </row>
    <row r="8" spans="13:19" x14ac:dyDescent="0.25">
      <c r="N8" s="27"/>
    </row>
    <row r="9" spans="13:19" x14ac:dyDescent="0.25">
      <c r="N9" s="27"/>
    </row>
    <row r="10" spans="13:19" x14ac:dyDescent="0.25">
      <c r="N10" s="27"/>
    </row>
    <row r="11" spans="13:19" x14ac:dyDescent="0.25">
      <c r="N11" s="27"/>
    </row>
    <row r="12" spans="13:19" x14ac:dyDescent="0.25">
      <c r="N12" s="27"/>
    </row>
    <row r="13" spans="13:19" x14ac:dyDescent="0.25">
      <c r="N13" s="27"/>
    </row>
    <row r="14" spans="13:19" ht="15.75" thickBot="1" x14ac:dyDescent="0.3"/>
    <row r="15" spans="13:19" x14ac:dyDescent="0.25">
      <c r="M15" s="61" t="s">
        <v>10</v>
      </c>
      <c r="N15" s="62" t="s">
        <v>15</v>
      </c>
      <c r="O15" s="62" t="s">
        <v>7</v>
      </c>
      <c r="P15" s="62" t="s">
        <v>11</v>
      </c>
      <c r="Q15" s="62" t="s">
        <v>12</v>
      </c>
      <c r="R15" s="63" t="s">
        <v>13</v>
      </c>
    </row>
    <row r="16" spans="13:19" ht="16.5" thickBot="1" x14ac:dyDescent="0.3">
      <c r="M16" s="29">
        <v>3</v>
      </c>
      <c r="N16" s="30">
        <v>30</v>
      </c>
      <c r="O16" s="66">
        <f>N16*1.27</f>
        <v>38.1</v>
      </c>
      <c r="P16" s="64">
        <f>(O16/25.4)</f>
        <v>1.5000000000000002</v>
      </c>
      <c r="Q16" s="31">
        <v>6000</v>
      </c>
      <c r="R16" s="65">
        <f>((O16-M16)*M16)*(0.02466*Q16)*1/1000</f>
        <v>15.580188000000001</v>
      </c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spans="13:13" x14ac:dyDescent="0.25">
      <c r="M33" s="32"/>
    </row>
    <row r="34" spans="13:13" x14ac:dyDescent="0.25"/>
    <row r="35" spans="13:13" x14ac:dyDescent="0.25"/>
    <row r="36" spans="13:13" hidden="1" x14ac:dyDescent="0.25">
      <c r="M36" s="32"/>
    </row>
    <row r="39" spans="13:13" hidden="1" x14ac:dyDescent="0.25">
      <c r="M39" s="32"/>
    </row>
  </sheetData>
  <sheetProtection password="921C" sheet="1" objects="1" scenarios="1" selectLockedCells="1"/>
  <mergeCells count="1">
    <mergeCell ref="M6:S6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AT35"/>
  <sheetViews>
    <sheetView showGridLines="0" showRowColHeaders="0" showZeros="0" showOutlineSymbols="0" workbookViewId="0">
      <selection activeCell="M16" sqref="M16"/>
    </sheetView>
  </sheetViews>
  <sheetFormatPr defaultColWidth="0" defaultRowHeight="15" customHeight="1" zeroHeight="1" x14ac:dyDescent="0.25"/>
  <cols>
    <col min="1" max="12" width="1.7109375" style="28" customWidth="1"/>
    <col min="13" max="13" width="13.42578125" style="27" bestFit="1" customWidth="1"/>
    <col min="14" max="14" width="12.7109375" style="28" bestFit="1" customWidth="1"/>
    <col min="15" max="16" width="14.28515625" style="28" bestFit="1" customWidth="1"/>
    <col min="17" max="17" width="9.7109375" style="28" bestFit="1" customWidth="1"/>
    <col min="18" max="18" width="17.28515625" style="28" bestFit="1" customWidth="1"/>
    <col min="19" max="19" width="15.42578125" style="28" bestFit="1" customWidth="1"/>
    <col min="20" max="46" width="1.7109375" style="28" customWidth="1"/>
    <col min="47" max="16384" width="1.7109375" style="28" hidden="1"/>
  </cols>
  <sheetData>
    <row r="1" spans="13:19" x14ac:dyDescent="0.25"/>
    <row r="2" spans="13:19" x14ac:dyDescent="0.25"/>
    <row r="3" spans="13:19" x14ac:dyDescent="0.25"/>
    <row r="4" spans="13:19" x14ac:dyDescent="0.25"/>
    <row r="5" spans="13:19" x14ac:dyDescent="0.25"/>
    <row r="6" spans="13:19" x14ac:dyDescent="0.25">
      <c r="M6" s="659" t="s">
        <v>18</v>
      </c>
      <c r="N6" s="659"/>
      <c r="O6" s="659"/>
      <c r="P6" s="659"/>
      <c r="Q6" s="659"/>
      <c r="R6" s="659"/>
      <c r="S6" s="659"/>
    </row>
    <row r="7" spans="13:19" x14ac:dyDescent="0.25">
      <c r="N7" s="27"/>
    </row>
    <row r="8" spans="13:19" x14ac:dyDescent="0.25">
      <c r="N8" s="27"/>
    </row>
    <row r="9" spans="13:19" x14ac:dyDescent="0.25">
      <c r="N9" s="27"/>
    </row>
    <row r="10" spans="13:19" x14ac:dyDescent="0.25">
      <c r="N10" s="27"/>
    </row>
    <row r="11" spans="13:19" x14ac:dyDescent="0.25">
      <c r="N11" s="27"/>
    </row>
    <row r="12" spans="13:19" x14ac:dyDescent="0.25">
      <c r="N12" s="27"/>
    </row>
    <row r="13" spans="13:19" x14ac:dyDescent="0.25">
      <c r="N13" s="27"/>
    </row>
    <row r="14" spans="13:19" ht="15.75" thickBot="1" x14ac:dyDescent="0.3"/>
    <row r="15" spans="13:19" x14ac:dyDescent="0.25">
      <c r="M15" s="61" t="s">
        <v>10</v>
      </c>
      <c r="N15" s="62" t="s">
        <v>15</v>
      </c>
      <c r="O15" s="62" t="s">
        <v>17</v>
      </c>
      <c r="P15" s="62" t="s">
        <v>7</v>
      </c>
      <c r="Q15" s="62" t="s">
        <v>11</v>
      </c>
      <c r="R15" s="62" t="s">
        <v>12</v>
      </c>
      <c r="S15" s="63" t="s">
        <v>13</v>
      </c>
    </row>
    <row r="16" spans="13:19" ht="16.5" thickBot="1" x14ac:dyDescent="0.3">
      <c r="M16" s="29">
        <v>3</v>
      </c>
      <c r="N16" s="30">
        <v>30</v>
      </c>
      <c r="O16" s="30">
        <v>60</v>
      </c>
      <c r="P16" s="66">
        <f>(N16+O16)*0.635</f>
        <v>57.15</v>
      </c>
      <c r="Q16" s="64">
        <f>P16/25.4</f>
        <v>2.25</v>
      </c>
      <c r="R16" s="31">
        <v>6000</v>
      </c>
      <c r="S16" s="65">
        <f>((P16-M16)*M16)*(0.02466*R16)*1/1000</f>
        <v>24.036102</v>
      </c>
    </row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sheetProtection password="921C" sheet="1" objects="1" scenarios="1" selectLockedCells="1"/>
  <mergeCells count="1">
    <mergeCell ref="M6:S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F1:CY29"/>
  <sheetViews>
    <sheetView showRowColHeaders="0" workbookViewId="0">
      <selection activeCell="G13" sqref="G13"/>
    </sheetView>
  </sheetViews>
  <sheetFormatPr defaultColWidth="5.7109375" defaultRowHeight="15" x14ac:dyDescent="0.25"/>
  <cols>
    <col min="1" max="5" width="5.7109375" style="28"/>
    <col min="6" max="6" width="28.85546875" style="28" bestFit="1" customWidth="1"/>
    <col min="7" max="7" width="15.28515625" style="28" bestFit="1" customWidth="1"/>
    <col min="8" max="8" width="19.85546875" style="28" bestFit="1" customWidth="1"/>
    <col min="9" max="9" width="13.5703125" style="28" bestFit="1" customWidth="1"/>
    <col min="10" max="10" width="14" style="28" bestFit="1" customWidth="1"/>
    <col min="11" max="16384" width="5.7109375" style="28"/>
  </cols>
  <sheetData>
    <row r="1" spans="6:60" ht="15" customHeight="1" x14ac:dyDescent="0.25"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</row>
    <row r="2" spans="6:60" ht="15" customHeight="1" x14ac:dyDescent="0.25">
      <c r="F2" s="659" t="s">
        <v>32</v>
      </c>
      <c r="G2" s="659"/>
      <c r="H2" s="659"/>
      <c r="I2" s="659"/>
      <c r="J2" s="39"/>
      <c r="K2" s="39"/>
      <c r="L2" s="39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</row>
    <row r="4" spans="6:60" ht="15" customHeight="1" x14ac:dyDescent="0.25"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</row>
    <row r="5" spans="6:60" ht="15" customHeight="1" x14ac:dyDescent="0.25"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</row>
    <row r="6" spans="6:60" ht="15" customHeight="1" x14ac:dyDescent="0.25"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</row>
    <row r="7" spans="6:60" ht="15" customHeight="1" x14ac:dyDescent="0.25"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</row>
    <row r="9" spans="6:60" ht="15" customHeight="1" x14ac:dyDescent="0.25"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</row>
    <row r="10" spans="6:60" ht="15" customHeight="1" x14ac:dyDescent="0.25"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</row>
    <row r="11" spans="6:60" ht="15" customHeight="1" thickBot="1" x14ac:dyDescent="0.3"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</row>
    <row r="12" spans="6:60" ht="15" customHeight="1" x14ac:dyDescent="0.25">
      <c r="F12" s="660" t="s">
        <v>30</v>
      </c>
      <c r="G12" s="78" t="s">
        <v>28</v>
      </c>
      <c r="H12" s="78" t="s">
        <v>12</v>
      </c>
      <c r="I12" s="79" t="s">
        <v>13</v>
      </c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spans="6:60" ht="15.75" thickBot="1" x14ac:dyDescent="0.3">
      <c r="F13" s="661"/>
      <c r="G13" s="82">
        <v>131</v>
      </c>
      <c r="H13" s="82">
        <v>24</v>
      </c>
      <c r="I13" s="265">
        <f>(((G13*G13*0.62)/100)*H13)/1000</f>
        <v>2.5535568000000004</v>
      </c>
    </row>
    <row r="14" spans="6:60" ht="15" customHeight="1" x14ac:dyDescent="0.25"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</row>
    <row r="15" spans="6:60" ht="15" customHeight="1" x14ac:dyDescent="0.25"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</row>
    <row r="16" spans="6:60" ht="15" customHeight="1" x14ac:dyDescent="0.25"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</row>
    <row r="17" spans="28:103" ht="15" customHeight="1" x14ac:dyDescent="0.25"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</row>
    <row r="18" spans="28:103" ht="27" x14ac:dyDescent="0.25"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</row>
    <row r="19" spans="28:103" ht="15" customHeight="1" x14ac:dyDescent="0.25"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</row>
    <row r="20" spans="28:103" ht="15" customHeight="1" x14ac:dyDescent="0.25"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</row>
    <row r="21" spans="28:103" ht="15" customHeight="1" x14ac:dyDescent="0.25"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</row>
    <row r="22" spans="28:103" ht="15" customHeight="1" x14ac:dyDescent="0.25"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</row>
    <row r="23" spans="28:103" ht="15.75" customHeight="1" x14ac:dyDescent="0.25"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</row>
    <row r="25" spans="28:103" ht="15" customHeight="1" x14ac:dyDescent="0.25"/>
    <row r="26" spans="28:103" ht="15" customHeight="1" x14ac:dyDescent="0.25"/>
    <row r="27" spans="28:103" ht="15" customHeight="1" x14ac:dyDescent="0.25"/>
    <row r="28" spans="28:103" ht="15" customHeight="1" x14ac:dyDescent="0.25"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</row>
    <row r="29" spans="28:103" ht="15" customHeight="1" x14ac:dyDescent="0.25"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</row>
  </sheetData>
  <sheetProtection password="921C" sheet="1" objects="1" scenarios="1" selectLockedCells="1"/>
  <mergeCells count="2">
    <mergeCell ref="F12:F13"/>
    <mergeCell ref="F2:I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U1:BP46"/>
  <sheetViews>
    <sheetView showGridLines="0" showRowColHeaders="0" showZeros="0" showOutlineSymbols="0" topLeftCell="A7" workbookViewId="0">
      <selection activeCell="AC19" sqref="AC19:AE19"/>
    </sheetView>
  </sheetViews>
  <sheetFormatPr defaultColWidth="1.7109375" defaultRowHeight="15" customHeight="1" zeroHeight="1" x14ac:dyDescent="0.25"/>
  <cols>
    <col min="1" max="20" width="1.7109375" style="27" customWidth="1"/>
    <col min="21" max="21" width="1.7109375" style="28" customWidth="1"/>
    <col min="22" max="22" width="1.7109375" style="27" customWidth="1"/>
    <col min="23" max="23" width="1.7109375" style="28" customWidth="1"/>
    <col min="24" max="24" width="1.7109375" style="27" customWidth="1"/>
    <col min="25" max="25" width="1.7109375" style="28" customWidth="1"/>
    <col min="26" max="28" width="1.7109375" style="27" customWidth="1"/>
    <col min="29" max="31" width="7.7109375" style="27" customWidth="1"/>
    <col min="32" max="32" width="15.7109375" style="27" customWidth="1"/>
    <col min="33" max="65" width="1.7109375" style="27" customWidth="1"/>
    <col min="66" max="68" width="4.140625" style="27" hidden="1" customWidth="1"/>
    <col min="69" max="69" width="0" style="27" hidden="1" customWidth="1"/>
    <col min="70" max="89" width="1.7109375" style="27" customWidth="1"/>
    <col min="90" max="16384" width="1.7109375" style="27"/>
  </cols>
  <sheetData>
    <row r="1" spans="24:68" x14ac:dyDescent="0.25"/>
    <row r="2" spans="24:68" x14ac:dyDescent="0.25"/>
    <row r="3" spans="24:68" x14ac:dyDescent="0.25"/>
    <row r="4" spans="24:68" x14ac:dyDescent="0.25"/>
    <row r="5" spans="24:68" x14ac:dyDescent="0.25">
      <c r="X5" s="39" t="s">
        <v>20</v>
      </c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24:68" x14ac:dyDescent="0.25"/>
    <row r="7" spans="24:68" ht="15" customHeight="1" x14ac:dyDescent="0.25">
      <c r="AC7" s="662"/>
      <c r="AD7" s="662"/>
      <c r="AE7" s="662"/>
      <c r="AF7" s="662"/>
    </row>
    <row r="8" spans="24:68" ht="15" customHeight="1" x14ac:dyDescent="0.25">
      <c r="AC8" s="662"/>
      <c r="AD8" s="662"/>
      <c r="AE8" s="662"/>
      <c r="AF8" s="662"/>
    </row>
    <row r="9" spans="24:68" ht="15" customHeight="1" x14ac:dyDescent="0.25">
      <c r="AC9" s="662"/>
      <c r="AD9" s="662"/>
      <c r="AE9" s="662"/>
      <c r="AF9" s="662"/>
    </row>
    <row r="10" spans="24:68" ht="15" customHeight="1" x14ac:dyDescent="0.25">
      <c r="AC10" s="662"/>
      <c r="AD10" s="662"/>
      <c r="AE10" s="662"/>
      <c r="AF10" s="662"/>
    </row>
    <row r="11" spans="24:68" ht="15" customHeight="1" x14ac:dyDescent="0.25">
      <c r="AC11" s="662"/>
      <c r="AD11" s="662"/>
      <c r="AE11" s="662"/>
      <c r="AF11" s="662"/>
    </row>
    <row r="12" spans="24:68" ht="15" customHeight="1" x14ac:dyDescent="0.25">
      <c r="AC12" s="662"/>
      <c r="AD12" s="662"/>
      <c r="AE12" s="662"/>
      <c r="AF12" s="662"/>
    </row>
    <row r="13" spans="24:68" ht="15.75" customHeight="1" x14ac:dyDescent="0.25">
      <c r="AC13" s="662"/>
      <c r="AD13" s="662"/>
      <c r="AE13" s="662"/>
      <c r="AF13" s="662"/>
    </row>
    <row r="14" spans="24:68" ht="15.75" thickBot="1" x14ac:dyDescent="0.3"/>
    <row r="15" spans="24:68" x14ac:dyDescent="0.25">
      <c r="AA15" s="32"/>
      <c r="AC15" s="663" t="s">
        <v>11</v>
      </c>
      <c r="AD15" s="664"/>
      <c r="AE15" s="665"/>
      <c r="AF15" s="69" t="s">
        <v>19</v>
      </c>
      <c r="BN15" s="27">
        <v>1</v>
      </c>
      <c r="BO15" s="27">
        <v>1</v>
      </c>
      <c r="BP15" s="27">
        <v>2</v>
      </c>
    </row>
    <row r="16" spans="24:68" ht="16.5" thickBot="1" x14ac:dyDescent="0.3">
      <c r="AA16" s="35"/>
      <c r="AC16" s="36">
        <v>5</v>
      </c>
      <c r="AD16" s="37">
        <v>5</v>
      </c>
      <c r="AE16" s="38">
        <v>8</v>
      </c>
      <c r="AF16" s="67">
        <f>IF(AND(AC16&gt;=1,AD16&gt;=1),(AC16*25.4)+((AD16/AE16)*25.4),IF(AND(AC16="",AD16&gt;=1),((AD16/AE16)*25.4),IF(AND(AC16&gt;=1,AD16=""),(AC16*25.4),"")))</f>
        <v>142.875</v>
      </c>
      <c r="BN16" s="27">
        <v>2</v>
      </c>
      <c r="BO16" s="27">
        <v>3</v>
      </c>
      <c r="BP16" s="27">
        <v>4</v>
      </c>
    </row>
    <row r="17" spans="29:68" ht="15.75" thickBot="1" x14ac:dyDescent="0.3">
      <c r="BN17" s="27">
        <v>3</v>
      </c>
      <c r="BO17" s="27">
        <v>5</v>
      </c>
      <c r="BP17" s="27">
        <v>8</v>
      </c>
    </row>
    <row r="18" spans="29:68" x14ac:dyDescent="0.25">
      <c r="AC18" s="666" t="s">
        <v>19</v>
      </c>
      <c r="AD18" s="667"/>
      <c r="AE18" s="668"/>
      <c r="AF18" s="70" t="s">
        <v>11</v>
      </c>
      <c r="BN18" s="27">
        <v>4</v>
      </c>
      <c r="BO18" s="27">
        <v>7</v>
      </c>
      <c r="BP18" s="27">
        <v>16</v>
      </c>
    </row>
    <row r="19" spans="29:68" ht="15.75" thickBot="1" x14ac:dyDescent="0.3">
      <c r="AC19" s="669">
        <v>33.4</v>
      </c>
      <c r="AD19" s="670"/>
      <c r="AE19" s="671"/>
      <c r="AF19" s="68">
        <f>AC19/25.4</f>
        <v>1.3149606299212599</v>
      </c>
      <c r="BN19" s="27">
        <v>5</v>
      </c>
      <c r="BO19" s="27">
        <v>11</v>
      </c>
      <c r="BP19" s="27">
        <v>32</v>
      </c>
    </row>
    <row r="20" spans="29:68" x14ac:dyDescent="0.25">
      <c r="BN20" s="27">
        <v>6</v>
      </c>
      <c r="BO20" s="27">
        <v>13</v>
      </c>
    </row>
    <row r="21" spans="29:68" x14ac:dyDescent="0.25">
      <c r="BN21" s="27">
        <v>7</v>
      </c>
      <c r="BO21" s="27">
        <v>15</v>
      </c>
    </row>
    <row r="22" spans="29:68" x14ac:dyDescent="0.25">
      <c r="BN22" s="27">
        <v>8</v>
      </c>
    </row>
    <row r="23" spans="29:68" x14ac:dyDescent="0.25">
      <c r="BN23" s="27">
        <v>9</v>
      </c>
    </row>
    <row r="24" spans="29:68" x14ac:dyDescent="0.25">
      <c r="BN24" s="27">
        <v>10</v>
      </c>
    </row>
    <row r="25" spans="29:68" x14ac:dyDescent="0.25"/>
    <row r="26" spans="29:68" x14ac:dyDescent="0.25"/>
    <row r="27" spans="29:68" x14ac:dyDescent="0.25"/>
    <row r="28" spans="29:68" x14ac:dyDescent="0.25"/>
    <row r="29" spans="29:68" x14ac:dyDescent="0.25"/>
    <row r="30" spans="29:68" x14ac:dyDescent="0.25"/>
    <row r="31" spans="29:68" x14ac:dyDescent="0.25"/>
    <row r="32" spans="29:68" x14ac:dyDescent="0.25"/>
    <row r="33" spans="24:24" x14ac:dyDescent="0.25"/>
    <row r="34" spans="24:24" x14ac:dyDescent="0.25"/>
    <row r="35" spans="24:24" x14ac:dyDescent="0.25"/>
    <row r="46" spans="24:24" hidden="1" x14ac:dyDescent="0.25">
      <c r="X46" s="32"/>
    </row>
  </sheetData>
  <sheetProtection password="921C" sheet="1" objects="1" scenarios="1" selectLockedCells="1"/>
  <mergeCells count="4">
    <mergeCell ref="AC7:AF13"/>
    <mergeCell ref="AC15:AE15"/>
    <mergeCell ref="AC18:AE18"/>
    <mergeCell ref="AC19:AE19"/>
  </mergeCells>
  <dataValidations count="4">
    <dataValidation allowBlank="1" showInputMessage="1" showErrorMessage="1" sqref="AD19:AE19" xr:uid="{00000000-0002-0000-0500-000000000000}"/>
    <dataValidation type="list" allowBlank="1" showInputMessage="1" showErrorMessage="1" sqref="AD16" xr:uid="{00000000-0002-0000-0500-000001000000}">
      <formula1>$BO$15:$BO$21</formula1>
    </dataValidation>
    <dataValidation type="list" allowBlank="1" showInputMessage="1" sqref="AC16" xr:uid="{00000000-0002-0000-0500-000002000000}">
      <formula1>$BN$15:$BN$24</formula1>
    </dataValidation>
    <dataValidation type="list" allowBlank="1" showInputMessage="1" showErrorMessage="1" sqref="AE16" xr:uid="{00000000-0002-0000-0500-000003000000}">
      <formula1>$BP$15:$BP$19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IO42"/>
  <sheetViews>
    <sheetView showGridLines="0" showRowColHeaders="0" showZeros="0" showOutlineSymbols="0" topLeftCell="A4" workbookViewId="0">
      <selection activeCell="R13" sqref="R13"/>
    </sheetView>
  </sheetViews>
  <sheetFormatPr defaultColWidth="0" defaultRowHeight="15" x14ac:dyDescent="0.25"/>
  <cols>
    <col min="1" max="17" width="2.7109375" style="27" customWidth="1"/>
    <col min="18" max="18" width="22.5703125" style="27" bestFit="1" customWidth="1"/>
    <col min="19" max="19" width="17.42578125" style="27" bestFit="1" customWidth="1"/>
    <col min="20" max="20" width="12" style="27" bestFit="1" customWidth="1"/>
    <col min="21" max="38" width="2.7109375" style="27" customWidth="1"/>
    <col min="41" max="47" width="2.7109375" style="27" customWidth="1"/>
    <col min="48" max="48" width="1.7109375" style="27" customWidth="1"/>
    <col min="49" max="50" width="2.7109375" style="27" hidden="1" customWidth="1"/>
    <col min="51" max="51" width="14" style="27" hidden="1" customWidth="1"/>
    <col min="52" max="241" width="2.7109375" style="27" hidden="1" customWidth="1"/>
    <col min="243" max="247" width="2.7109375" style="27" hidden="1" customWidth="1"/>
    <col min="248" max="248" width="12.42578125" style="40" hidden="1" customWidth="1"/>
    <col min="249" max="249" width="7.7109375" style="40" bestFit="1" customWidth="1"/>
    <col min="250" max="16384" width="2.7109375" style="27" hidden="1"/>
  </cols>
  <sheetData>
    <row r="1" spans="1:249" ht="14.25" x14ac:dyDescent="0.2">
      <c r="AM1" s="27"/>
      <c r="AN1" s="27"/>
      <c r="IH1" s="27"/>
    </row>
    <row r="2" spans="1:249" ht="14.25" x14ac:dyDescent="0.2">
      <c r="AM2" s="27"/>
      <c r="AN2" s="27"/>
      <c r="IH2" s="27"/>
    </row>
    <row r="3" spans="1:249" ht="14.25" x14ac:dyDescent="0.2">
      <c r="AM3" s="27"/>
      <c r="AN3" s="27"/>
      <c r="AY3" s="41">
        <f>R9</f>
        <v>6000</v>
      </c>
      <c r="IH3" s="27"/>
      <c r="IN3" s="42">
        <f>S9</f>
        <v>21.478000000000002</v>
      </c>
    </row>
    <row r="4" spans="1:249" ht="14.25" x14ac:dyDescent="0.2">
      <c r="AM4" s="27"/>
      <c r="AN4" s="27"/>
      <c r="AY4" s="41">
        <f>R13</f>
        <v>720</v>
      </c>
      <c r="IH4" s="27"/>
      <c r="IN4" s="42">
        <f>AY4*IN3/AY3</f>
        <v>2.5773600000000001</v>
      </c>
    </row>
    <row r="5" spans="1:249" ht="15" customHeight="1" x14ac:dyDescent="0.2">
      <c r="N5" s="659" t="s">
        <v>26</v>
      </c>
      <c r="O5" s="659"/>
      <c r="P5" s="659"/>
      <c r="Q5" s="659"/>
      <c r="R5" s="659"/>
      <c r="S5" s="659"/>
      <c r="T5" s="659"/>
      <c r="AM5" s="27"/>
      <c r="AN5" s="27"/>
      <c r="IH5" s="27"/>
    </row>
    <row r="6" spans="1:249" thickBot="1" x14ac:dyDescent="0.25">
      <c r="AM6" s="27"/>
      <c r="AN6" s="27"/>
      <c r="IH6" s="27"/>
    </row>
    <row r="7" spans="1:249" ht="14.25" x14ac:dyDescent="0.2">
      <c r="Q7" s="35"/>
      <c r="R7" s="678" t="s">
        <v>27</v>
      </c>
      <c r="S7" s="679"/>
      <c r="U7" s="416" t="s">
        <v>233</v>
      </c>
      <c r="V7" s="417"/>
      <c r="W7" s="417"/>
      <c r="X7" s="417"/>
      <c r="Y7" s="417"/>
      <c r="Z7" s="417"/>
      <c r="AA7" s="417"/>
      <c r="AB7" s="417"/>
      <c r="AC7" s="417"/>
      <c r="AD7" s="417"/>
      <c r="AE7" s="417"/>
      <c r="AF7" s="417"/>
      <c r="AG7" s="417"/>
      <c r="AH7" s="418"/>
      <c r="AM7" s="27"/>
      <c r="AN7" s="27"/>
      <c r="IH7" s="27"/>
    </row>
    <row r="8" spans="1:249" thickBot="1" x14ac:dyDescent="0.25">
      <c r="R8" s="73" t="s">
        <v>12</v>
      </c>
      <c r="S8" s="74" t="s">
        <v>13</v>
      </c>
      <c r="U8" s="672">
        <f>'Tubo Redondo'!Q16</f>
        <v>1.9264392000000001</v>
      </c>
      <c r="V8" s="673"/>
      <c r="W8" s="673"/>
      <c r="X8" s="673"/>
      <c r="Y8" s="673"/>
      <c r="Z8" s="673"/>
      <c r="AA8" s="673"/>
      <c r="AB8" s="673"/>
      <c r="AC8" s="673"/>
      <c r="AD8" s="673"/>
      <c r="AE8" s="673"/>
      <c r="AF8" s="673"/>
      <c r="AG8" s="673"/>
      <c r="AH8" s="419"/>
      <c r="AM8" s="27"/>
      <c r="AN8" s="27"/>
      <c r="IH8" s="27"/>
      <c r="IN8" s="40">
        <v>2</v>
      </c>
    </row>
    <row r="9" spans="1:249" ht="14.25" x14ac:dyDescent="0.2">
      <c r="R9" s="43">
        <v>6000</v>
      </c>
      <c r="S9" s="44">
        <v>21.478000000000002</v>
      </c>
      <c r="AM9" s="27"/>
      <c r="AN9" s="27"/>
      <c r="IH9" s="27"/>
    </row>
    <row r="10" spans="1:249" ht="14.25" x14ac:dyDescent="0.2">
      <c r="R10" s="680"/>
      <c r="S10" s="681"/>
      <c r="AM10" s="27"/>
      <c r="AN10" s="27"/>
      <c r="AY10" s="41">
        <f>R13+IN8</f>
        <v>722</v>
      </c>
      <c r="IH10" s="27"/>
      <c r="IN10" s="45">
        <f>R9</f>
        <v>6000</v>
      </c>
    </row>
    <row r="11" spans="1:249" ht="14.25" x14ac:dyDescent="0.2">
      <c r="R11" s="682" t="s">
        <v>21</v>
      </c>
      <c r="S11" s="683"/>
      <c r="AM11" s="27"/>
      <c r="AN11" s="27"/>
      <c r="AY11" s="46">
        <f>IN10/AY10</f>
        <v>8.310249307479225</v>
      </c>
      <c r="IH11" s="27"/>
      <c r="IN11" s="45"/>
    </row>
    <row r="12" spans="1:249" ht="14.25" x14ac:dyDescent="0.2">
      <c r="R12" s="73" t="s">
        <v>12</v>
      </c>
      <c r="S12" s="74" t="s">
        <v>13</v>
      </c>
      <c r="T12" s="41"/>
      <c r="AM12" s="27"/>
      <c r="AN12" s="27"/>
      <c r="AY12" s="41">
        <f>R17</f>
        <v>8</v>
      </c>
      <c r="IH12" s="27"/>
      <c r="IO12" s="47"/>
    </row>
    <row r="13" spans="1:249" ht="14.25" x14ac:dyDescent="0.2">
      <c r="R13" s="43">
        <v>720</v>
      </c>
      <c r="S13" s="72">
        <f>IN4</f>
        <v>2.5773600000000001</v>
      </c>
      <c r="AM13" s="27"/>
      <c r="AN13" s="27"/>
      <c r="AY13" s="41">
        <f>AY11-AY12</f>
        <v>0.31024930747922497</v>
      </c>
      <c r="IH13" s="27"/>
      <c r="IN13" s="48"/>
      <c r="IO13" s="47"/>
    </row>
    <row r="14" spans="1:249" ht="14.25" x14ac:dyDescent="0.2">
      <c r="R14" s="680"/>
      <c r="S14" s="681"/>
      <c r="AM14" s="27"/>
      <c r="AN14" s="27"/>
      <c r="AY14" s="46"/>
      <c r="IH14" s="27"/>
    </row>
    <row r="15" spans="1:249" s="40" customFormat="1" ht="14.25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674" t="s">
        <v>22</v>
      </c>
      <c r="S15" s="675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>
        <v>1</v>
      </c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42">
        <f>S13</f>
        <v>2.5773600000000001</v>
      </c>
    </row>
    <row r="16" spans="1:249" s="40" customFormat="1" ht="14.25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73" t="s">
        <v>23</v>
      </c>
      <c r="S16" s="74" t="s">
        <v>13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49">
        <f>R17</f>
        <v>8</v>
      </c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50">
        <f>AY16*IN15/AY15</f>
        <v>20.618880000000001</v>
      </c>
    </row>
    <row r="17" spans="1:248" s="40" customFormat="1" ht="14.25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51">
        <f>ROUNDDOWN(AY11,0)</f>
        <v>8</v>
      </c>
      <c r="S17" s="52">
        <f>IN16</f>
        <v>20.618880000000001</v>
      </c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53">
        <f>R21</f>
        <v>0.31024930747922497</v>
      </c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40">
        <f>AY17*IN15/AY15</f>
        <v>0.79962415512465534</v>
      </c>
    </row>
    <row r="18" spans="1:248" s="40" customFormat="1" ht="14.25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680"/>
      <c r="S18" s="681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</row>
    <row r="19" spans="1:248" s="40" customFormat="1" ht="14.25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674" t="s">
        <v>24</v>
      </c>
      <c r="S19" s="675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>
        <v>6000</v>
      </c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42">
        <f>S9</f>
        <v>21.478000000000002</v>
      </c>
    </row>
    <row r="20" spans="1:248" s="40" customFormat="1" ht="14.25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54" t="s">
        <v>23</v>
      </c>
      <c r="S20" s="55" t="s">
        <v>13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41">
        <f>R17*IN8</f>
        <v>16</v>
      </c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56">
        <f>AY20*IN19/AY19</f>
        <v>5.7274666666666668E-2</v>
      </c>
    </row>
    <row r="21" spans="1:248" s="40" customFormat="1" thickBo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75">
        <f>AY13</f>
        <v>0.31024930747922497</v>
      </c>
      <c r="S21" s="76">
        <f>(IN17+IN20)/R17</f>
        <v>0.10711235272391526</v>
      </c>
      <c r="T21" s="27"/>
      <c r="U21" s="27"/>
      <c r="V21" s="27"/>
      <c r="W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</row>
    <row r="22" spans="1:248" s="40" customFormat="1" ht="14.25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57"/>
      <c r="T22" s="27"/>
      <c r="U22" s="27"/>
      <c r="V22" s="27"/>
      <c r="W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</row>
    <row r="23" spans="1:248" s="40" customFormat="1" thickBo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</row>
    <row r="24" spans="1:248" s="40" customFormat="1" ht="19.5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676" t="s">
        <v>25</v>
      </c>
      <c r="S24" s="67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</row>
    <row r="25" spans="1:248" s="40" customFormat="1" ht="14.25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58" t="s">
        <v>23</v>
      </c>
      <c r="S25" s="59" t="s">
        <v>13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</row>
    <row r="26" spans="1:248" s="40" customFormat="1" ht="18.75" thickBo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71">
        <f>S13+S21</f>
        <v>2.6844723527239154</v>
      </c>
      <c r="S26" s="60">
        <f>-S21</f>
        <v>-0.10711235272391526</v>
      </c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</row>
    <row r="27" spans="1:248" s="40" customFormat="1" ht="14.2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</row>
    <row r="28" spans="1:248" s="40" customFormat="1" ht="14.2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</row>
    <row r="29" spans="1:248" s="40" customFormat="1" ht="14.2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</row>
    <row r="30" spans="1:248" s="40" customFormat="1" ht="14.2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</row>
    <row r="31" spans="1:248" ht="14.25" x14ac:dyDescent="0.2">
      <c r="AM31" s="27"/>
      <c r="AN31" s="27"/>
      <c r="IH31" s="27"/>
    </row>
    <row r="32" spans="1:248" ht="14.25" x14ac:dyDescent="0.2">
      <c r="AM32" s="27"/>
      <c r="AN32" s="27"/>
      <c r="IH32" s="27"/>
    </row>
    <row r="33" spans="39:242" ht="14.25" x14ac:dyDescent="0.2">
      <c r="AM33" s="27"/>
      <c r="AN33" s="27"/>
      <c r="IH33" s="27"/>
    </row>
    <row r="34" spans="39:242" ht="14.25" x14ac:dyDescent="0.2">
      <c r="AM34" s="27"/>
      <c r="AN34" s="27"/>
      <c r="IH34" s="27"/>
    </row>
    <row r="35" spans="39:242" ht="14.25" x14ac:dyDescent="0.2">
      <c r="AM35" s="27"/>
      <c r="AN35" s="27"/>
      <c r="IH35" s="27"/>
    </row>
    <row r="36" spans="39:242" ht="14.25" x14ac:dyDescent="0.2">
      <c r="AM36" s="27"/>
      <c r="AN36" s="27"/>
      <c r="IH36" s="27"/>
    </row>
    <row r="37" spans="39:242" ht="14.25" x14ac:dyDescent="0.2">
      <c r="AM37" s="27"/>
      <c r="AN37" s="27"/>
      <c r="IH37" s="27"/>
    </row>
    <row r="38" spans="39:242" ht="14.25" x14ac:dyDescent="0.2">
      <c r="AM38" s="27"/>
      <c r="AN38" s="27"/>
      <c r="IH38" s="27"/>
    </row>
    <row r="39" spans="39:242" ht="14.25" x14ac:dyDescent="0.2">
      <c r="AM39" s="27"/>
      <c r="AN39" s="27"/>
      <c r="IH39" s="27"/>
    </row>
    <row r="40" spans="39:242" ht="14.25" x14ac:dyDescent="0.2">
      <c r="AM40" s="27"/>
      <c r="AN40" s="27"/>
      <c r="IH40" s="27"/>
    </row>
    <row r="41" spans="39:242" ht="14.25" x14ac:dyDescent="0.2">
      <c r="AM41" s="27"/>
      <c r="AN41" s="27"/>
      <c r="IH41" s="27"/>
    </row>
    <row r="42" spans="39:242" ht="14.25" x14ac:dyDescent="0.2">
      <c r="AM42" s="27"/>
      <c r="AN42" s="27"/>
      <c r="IH42" s="27"/>
    </row>
  </sheetData>
  <sheetProtection password="921C" sheet="1" objects="1" scenarios="1" selectLockedCells="1"/>
  <mergeCells count="10">
    <mergeCell ref="U8:AG8"/>
    <mergeCell ref="R19:S19"/>
    <mergeCell ref="R24:S24"/>
    <mergeCell ref="N5:T5"/>
    <mergeCell ref="R7:S7"/>
    <mergeCell ref="R10:S10"/>
    <mergeCell ref="R11:S11"/>
    <mergeCell ref="R14:S14"/>
    <mergeCell ref="R15:S15"/>
    <mergeCell ref="R18:S18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/>
  <dimension ref="F1:CZ29"/>
  <sheetViews>
    <sheetView showRowColHeaders="0" workbookViewId="0">
      <selection activeCell="H13" sqref="H13"/>
    </sheetView>
  </sheetViews>
  <sheetFormatPr defaultColWidth="5.7109375" defaultRowHeight="15" x14ac:dyDescent="0.25"/>
  <cols>
    <col min="1" max="5" width="5.7109375" style="28"/>
    <col min="6" max="6" width="31" style="28" bestFit="1" customWidth="1"/>
    <col min="7" max="7" width="14.7109375" style="28" bestFit="1" customWidth="1"/>
    <col min="8" max="8" width="24" style="28" customWidth="1"/>
    <col min="9" max="9" width="13.140625" style="28" bestFit="1" customWidth="1"/>
    <col min="10" max="11" width="5.5703125" style="28" bestFit="1" customWidth="1"/>
    <col min="12" max="16384" width="5.7109375" style="28"/>
  </cols>
  <sheetData>
    <row r="1" spans="6:60" ht="15" customHeight="1" x14ac:dyDescent="0.25"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6:60" ht="15" customHeight="1" x14ac:dyDescent="0.25">
      <c r="F2" s="659" t="s">
        <v>33</v>
      </c>
      <c r="G2" s="659"/>
      <c r="H2" s="659"/>
      <c r="I2" s="659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</row>
    <row r="4" spans="6:60" ht="15" customHeight="1" x14ac:dyDescent="0.25"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</row>
    <row r="5" spans="6:60" ht="15" customHeight="1" x14ac:dyDescent="0.25"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</row>
    <row r="6" spans="6:60" ht="15" customHeight="1" x14ac:dyDescent="0.25"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</row>
    <row r="7" spans="6:60" ht="15" customHeight="1" x14ac:dyDescent="0.25"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</row>
    <row r="9" spans="6:60" ht="15" customHeight="1" x14ac:dyDescent="0.25"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</row>
    <row r="10" spans="6:60" ht="15" customHeight="1" x14ac:dyDescent="0.25"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</row>
    <row r="11" spans="6:60" ht="15" customHeight="1" thickBot="1" x14ac:dyDescent="0.3"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spans="6:60" ht="15" customHeight="1" x14ac:dyDescent="0.25">
      <c r="F12" s="660" t="s">
        <v>31</v>
      </c>
      <c r="G12" s="78" t="s">
        <v>29</v>
      </c>
      <c r="H12" s="80" t="s">
        <v>12</v>
      </c>
      <c r="I12" s="79" t="s">
        <v>13</v>
      </c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spans="6:60" ht="15.75" thickBot="1" x14ac:dyDescent="0.3">
      <c r="F13" s="661"/>
      <c r="G13" s="82">
        <v>27.5</v>
      </c>
      <c r="H13" s="83">
        <v>48</v>
      </c>
      <c r="I13" s="265">
        <f>(((G13*G13*0.79)/100)*H13/1000)</f>
        <v>0.28676999999999997</v>
      </c>
    </row>
    <row r="14" spans="6:60" ht="15" customHeight="1" x14ac:dyDescent="0.25"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</row>
    <row r="15" spans="6:60" ht="15" customHeight="1" x14ac:dyDescent="0.25"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</row>
    <row r="16" spans="6:60" ht="15" customHeight="1" x14ac:dyDescent="0.25"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7" spans="29:104" ht="15" customHeight="1" x14ac:dyDescent="0.25"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29:104" ht="27" x14ac:dyDescent="0.25"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</row>
    <row r="19" spans="29:104" ht="15" customHeight="1" x14ac:dyDescent="0.25"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</row>
    <row r="20" spans="29:104" ht="15" customHeight="1" x14ac:dyDescent="0.25"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</row>
    <row r="21" spans="29:104" ht="15" customHeight="1" x14ac:dyDescent="0.25"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</row>
    <row r="22" spans="29:104" ht="15" customHeight="1" x14ac:dyDescent="0.25"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</row>
    <row r="23" spans="29:104" ht="15.75" customHeight="1" x14ac:dyDescent="0.25"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</row>
    <row r="25" spans="29:104" ht="15" customHeight="1" x14ac:dyDescent="0.25"/>
    <row r="26" spans="29:104" ht="15" customHeight="1" x14ac:dyDescent="0.25"/>
    <row r="27" spans="29:104" ht="15" customHeight="1" x14ac:dyDescent="0.25"/>
    <row r="28" spans="29:104" ht="15" customHeight="1" x14ac:dyDescent="0.25"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</row>
    <row r="29" spans="29:104" ht="15" customHeight="1" x14ac:dyDescent="0.25"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</row>
  </sheetData>
  <sheetProtection password="921C" sheet="1" objects="1" scenarios="1" selectLockedCells="1"/>
  <mergeCells count="2">
    <mergeCell ref="F12:F13"/>
    <mergeCell ref="F2:I2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/>
  <dimension ref="F1:CZ30"/>
  <sheetViews>
    <sheetView showRowColHeaders="0" workbookViewId="0">
      <selection activeCell="P16" sqref="P16"/>
    </sheetView>
  </sheetViews>
  <sheetFormatPr defaultColWidth="5.7109375" defaultRowHeight="15" x14ac:dyDescent="0.25"/>
  <cols>
    <col min="1" max="5" width="5.7109375" style="28"/>
    <col min="6" max="6" width="35.5703125" style="28" bestFit="1" customWidth="1"/>
    <col min="7" max="7" width="14.7109375" style="28" customWidth="1"/>
    <col min="8" max="8" width="21.5703125" style="28" customWidth="1"/>
    <col min="9" max="9" width="13.5703125" style="28" customWidth="1"/>
    <col min="10" max="11" width="5.5703125" style="28" bestFit="1" customWidth="1"/>
    <col min="12" max="16384" width="5.7109375" style="28"/>
  </cols>
  <sheetData>
    <row r="1" spans="6:60" ht="15" customHeight="1" x14ac:dyDescent="0.25"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</row>
    <row r="2" spans="6:60" ht="15" customHeight="1" x14ac:dyDescent="0.25">
      <c r="F2" s="659" t="s">
        <v>228</v>
      </c>
      <c r="G2" s="659"/>
      <c r="H2" s="659"/>
      <c r="I2" s="659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</row>
    <row r="3" spans="6:60" ht="15" customHeight="1" x14ac:dyDescent="0.25"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</row>
    <row r="5" spans="6:60" ht="15" customHeight="1" x14ac:dyDescent="0.25"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</row>
    <row r="6" spans="6:60" ht="15" customHeight="1" x14ac:dyDescent="0.25"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</row>
    <row r="7" spans="6:60" ht="15" customHeight="1" x14ac:dyDescent="0.25"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</row>
    <row r="8" spans="6:60" ht="15" customHeight="1" x14ac:dyDescent="0.25"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</row>
    <row r="10" spans="6:60" ht="15" customHeight="1" x14ac:dyDescent="0.25"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</row>
    <row r="11" spans="6:60" ht="15" customHeight="1" x14ac:dyDescent="0.25"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spans="6:60" ht="15" customHeight="1" thickBot="1" x14ac:dyDescent="0.3"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</row>
    <row r="13" spans="6:60" ht="15" customHeight="1" x14ac:dyDescent="0.25">
      <c r="F13" s="660" t="s">
        <v>34</v>
      </c>
      <c r="G13" s="263" t="s">
        <v>28</v>
      </c>
      <c r="H13" s="263" t="s">
        <v>12</v>
      </c>
      <c r="I13" s="263" t="s">
        <v>13</v>
      </c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</row>
    <row r="14" spans="6:60" ht="15.75" thickBot="1" x14ac:dyDescent="0.3">
      <c r="F14" s="661"/>
      <c r="G14" s="82">
        <v>12.7</v>
      </c>
      <c r="H14" s="83">
        <v>1000</v>
      </c>
      <c r="I14" s="265">
        <f>(((G14*G14*0.68)/100)*(H14/1000))</f>
        <v>1.0967720000000001</v>
      </c>
    </row>
    <row r="15" spans="6:60" ht="15" customHeight="1" x14ac:dyDescent="0.25"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</row>
    <row r="16" spans="6:60" ht="15" customHeight="1" x14ac:dyDescent="0.25"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</row>
    <row r="17" spans="29:104" ht="15" customHeight="1" x14ac:dyDescent="0.25"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29:104" ht="15" customHeight="1" x14ac:dyDescent="0.25"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</row>
    <row r="19" spans="29:104" ht="27" x14ac:dyDescent="0.25"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</row>
    <row r="20" spans="29:104" ht="15" customHeight="1" x14ac:dyDescent="0.25"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</row>
    <row r="21" spans="29:104" ht="15" customHeight="1" x14ac:dyDescent="0.25"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</row>
    <row r="22" spans="29:104" ht="15" customHeight="1" x14ac:dyDescent="0.25"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</row>
    <row r="23" spans="29:104" ht="15" customHeight="1" x14ac:dyDescent="0.25"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</row>
    <row r="24" spans="29:104" ht="15.75" customHeight="1" x14ac:dyDescent="0.25"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</row>
    <row r="26" spans="29:104" ht="15" customHeight="1" x14ac:dyDescent="0.25"/>
    <row r="27" spans="29:104" ht="15" customHeight="1" x14ac:dyDescent="0.25"/>
    <row r="28" spans="29:104" ht="15" customHeight="1" x14ac:dyDescent="0.25"/>
    <row r="29" spans="29:104" ht="15" customHeight="1" x14ac:dyDescent="0.25"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</row>
    <row r="30" spans="29:104" ht="15" customHeight="1" x14ac:dyDescent="0.25"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</row>
  </sheetData>
  <sheetProtection selectLockedCells="1"/>
  <mergeCells count="2">
    <mergeCell ref="F13:F14"/>
    <mergeCell ref="F2:I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/>
  <dimension ref="B2:J10"/>
  <sheetViews>
    <sheetView showGridLines="0" showRowColHeaders="0" workbookViewId="0">
      <selection activeCell="D5" sqref="D5"/>
    </sheetView>
  </sheetViews>
  <sheetFormatPr defaultColWidth="9.140625" defaultRowHeight="12.75" x14ac:dyDescent="0.2"/>
  <cols>
    <col min="1" max="1" width="3.42578125" style="84" customWidth="1"/>
    <col min="2" max="2" width="5.7109375" style="84" customWidth="1"/>
    <col min="3" max="3" width="17" style="84" bestFit="1" customWidth="1"/>
    <col min="4" max="4" width="14.85546875" style="84" customWidth="1"/>
    <col min="5" max="5" width="8.28515625" style="84" customWidth="1"/>
    <col min="6" max="6" width="17" style="84" bestFit="1" customWidth="1"/>
    <col min="7" max="9" width="9.85546875" style="84" customWidth="1"/>
    <col min="10" max="10" width="5.7109375" style="84" customWidth="1"/>
    <col min="11" max="11" width="9.140625" style="84" customWidth="1"/>
    <col min="12" max="16384" width="9.140625" style="84"/>
  </cols>
  <sheetData>
    <row r="2" spans="2:10" ht="14.25" x14ac:dyDescent="0.2">
      <c r="B2" s="684" t="s">
        <v>38</v>
      </c>
      <c r="C2" s="684"/>
      <c r="D2" s="684"/>
      <c r="E2" s="684"/>
      <c r="F2" s="684"/>
      <c r="G2" s="684"/>
      <c r="H2" s="684"/>
      <c r="I2" s="684"/>
      <c r="J2" s="684"/>
    </row>
    <row r="3" spans="2:10" ht="5.0999999999999996" customHeight="1" x14ac:dyDescent="0.2">
      <c r="B3" s="85"/>
      <c r="C3" s="86"/>
      <c r="D3" s="86"/>
      <c r="E3" s="86"/>
      <c r="F3" s="86"/>
      <c r="G3" s="86"/>
      <c r="H3" s="86"/>
      <c r="I3" s="86"/>
      <c r="J3" s="87"/>
    </row>
    <row r="4" spans="2:10" ht="12.75" customHeight="1" x14ac:dyDescent="0.2">
      <c r="B4" s="88"/>
      <c r="C4" s="89" t="s">
        <v>35</v>
      </c>
      <c r="D4" s="95">
        <f>PI()</f>
        <v>3.1415926535897931</v>
      </c>
      <c r="E4" s="96"/>
      <c r="F4" s="97"/>
      <c r="G4" s="98"/>
      <c r="H4" s="99"/>
      <c r="I4" s="99"/>
      <c r="J4" s="90"/>
    </row>
    <row r="5" spans="2:10" ht="12.75" customHeight="1" x14ac:dyDescent="0.2">
      <c r="B5" s="88"/>
      <c r="C5" s="94" t="s">
        <v>36</v>
      </c>
      <c r="D5" s="103">
        <v>4</v>
      </c>
      <c r="E5" s="96"/>
      <c r="F5" s="100"/>
      <c r="G5" s="685" t="s">
        <v>13</v>
      </c>
      <c r="H5" s="685"/>
      <c r="I5" s="685"/>
      <c r="J5" s="90"/>
    </row>
    <row r="6" spans="2:10" ht="12.75" customHeight="1" x14ac:dyDescent="0.2">
      <c r="B6" s="88"/>
      <c r="C6" s="101"/>
      <c r="D6" s="96"/>
      <c r="E6" s="96"/>
      <c r="F6" s="100"/>
      <c r="G6" s="685"/>
      <c r="H6" s="685"/>
      <c r="I6" s="685"/>
      <c r="J6" s="90"/>
    </row>
    <row r="7" spans="2:10" ht="12.75" customHeight="1" x14ac:dyDescent="0.2">
      <c r="B7" s="88"/>
      <c r="C7" s="94" t="s">
        <v>37</v>
      </c>
      <c r="D7" s="103">
        <v>134</v>
      </c>
      <c r="E7" s="102"/>
      <c r="F7" s="97"/>
      <c r="G7" s="686">
        <f>D9*D5*7.85</f>
        <v>0.44282193584968782</v>
      </c>
      <c r="H7" s="686"/>
      <c r="I7" s="686"/>
      <c r="J7" s="90"/>
    </row>
    <row r="8" spans="2:10" ht="12.75" customHeight="1" x14ac:dyDescent="0.2">
      <c r="B8" s="88"/>
      <c r="C8" s="101"/>
      <c r="D8" s="96"/>
      <c r="E8" s="96"/>
      <c r="F8" s="97"/>
      <c r="G8" s="686"/>
      <c r="H8" s="686"/>
      <c r="I8" s="686"/>
      <c r="J8" s="90"/>
    </row>
    <row r="9" spans="2:10" ht="12.75" customHeight="1" x14ac:dyDescent="0.2">
      <c r="B9" s="88"/>
      <c r="C9" s="94" t="s">
        <v>39</v>
      </c>
      <c r="D9" s="104">
        <f>(D4*((D7*D7)/4))/1000000</f>
        <v>1.4102609421964582E-2</v>
      </c>
      <c r="E9" s="96"/>
      <c r="F9" s="96"/>
      <c r="G9" s="96"/>
      <c r="H9" s="96"/>
      <c r="I9" s="96"/>
      <c r="J9" s="90"/>
    </row>
    <row r="10" spans="2:10" ht="5.0999999999999996" customHeight="1" x14ac:dyDescent="0.2">
      <c r="B10" s="91"/>
      <c r="C10" s="92"/>
      <c r="D10" s="92"/>
      <c r="E10" s="92"/>
      <c r="F10" s="92"/>
      <c r="G10" s="92"/>
      <c r="H10" s="92"/>
      <c r="I10" s="92"/>
      <c r="J10" s="93"/>
    </row>
  </sheetData>
  <sheetProtection password="921C" sheet="1" objects="1" scenarios="1" selectLockedCells="1"/>
  <mergeCells count="3">
    <mergeCell ref="B2:J2"/>
    <mergeCell ref="G5:I6"/>
    <mergeCell ref="G7:I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/>
  <dimension ref="A1:N24"/>
  <sheetViews>
    <sheetView showGridLines="0" showRowColHeaders="0" workbookViewId="0">
      <selection activeCell="D16" sqref="D16:I17"/>
    </sheetView>
  </sheetViews>
  <sheetFormatPr defaultRowHeight="15" x14ac:dyDescent="0.25"/>
  <cols>
    <col min="2" max="2" width="16" customWidth="1"/>
    <col min="3" max="3" width="6.7109375" customWidth="1"/>
    <col min="9" max="9" width="6.5703125" customWidth="1"/>
    <col min="10" max="10" width="3.42578125" customWidth="1"/>
    <col min="11" max="11" width="9.140625" customWidth="1"/>
    <col min="12" max="12" width="0.42578125" customWidth="1"/>
  </cols>
  <sheetData>
    <row r="1" spans="1:14" x14ac:dyDescent="0.25">
      <c r="A1" s="700" t="s">
        <v>45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</row>
    <row r="2" spans="1:14" ht="15.75" thickBot="1" x14ac:dyDescent="0.3"/>
    <row r="3" spans="1:14" ht="15" customHeight="1" x14ac:dyDescent="0.25">
      <c r="J3" s="710" t="s">
        <v>47</v>
      </c>
      <c r="K3" s="713">
        <v>1500</v>
      </c>
      <c r="M3" s="698"/>
    </row>
    <row r="4" spans="1:14" x14ac:dyDescent="0.25">
      <c r="J4" s="711"/>
      <c r="K4" s="714"/>
      <c r="M4" s="698"/>
    </row>
    <row r="5" spans="1:14" x14ac:dyDescent="0.25">
      <c r="J5" s="711"/>
      <c r="K5" s="714"/>
      <c r="M5" s="698"/>
    </row>
    <row r="6" spans="1:14" x14ac:dyDescent="0.25">
      <c r="J6" s="711"/>
      <c r="K6" s="714"/>
      <c r="M6" s="698"/>
    </row>
    <row r="7" spans="1:14" x14ac:dyDescent="0.25">
      <c r="J7" s="711"/>
      <c r="K7" s="714"/>
      <c r="M7" s="698"/>
    </row>
    <row r="8" spans="1:14" x14ac:dyDescent="0.25">
      <c r="J8" s="711"/>
      <c r="K8" s="714"/>
      <c r="M8" s="698"/>
    </row>
    <row r="9" spans="1:14" x14ac:dyDescent="0.25">
      <c r="J9" s="711"/>
      <c r="K9" s="714"/>
      <c r="M9" s="698"/>
    </row>
    <row r="10" spans="1:14" x14ac:dyDescent="0.25">
      <c r="J10" s="711"/>
      <c r="K10" s="714"/>
      <c r="M10" s="698"/>
    </row>
    <row r="11" spans="1:14" x14ac:dyDescent="0.25">
      <c r="J11" s="711"/>
      <c r="K11" s="714"/>
      <c r="M11" s="698"/>
    </row>
    <row r="12" spans="1:14" x14ac:dyDescent="0.25">
      <c r="J12" s="711"/>
      <c r="K12" s="714"/>
      <c r="L12" s="108"/>
      <c r="M12" s="698"/>
      <c r="N12" s="109"/>
    </row>
    <row r="13" spans="1:14" ht="25.5" customHeight="1" x14ac:dyDescent="0.25">
      <c r="J13" s="711"/>
      <c r="K13" s="714"/>
      <c r="M13" s="698"/>
    </row>
    <row r="14" spans="1:14" ht="12.75" customHeight="1" thickBot="1" x14ac:dyDescent="0.3">
      <c r="J14" s="712"/>
      <c r="K14" s="715"/>
      <c r="M14" s="698"/>
    </row>
    <row r="15" spans="1:14" x14ac:dyDescent="0.25">
      <c r="D15" s="701" t="s">
        <v>12</v>
      </c>
      <c r="E15" s="702"/>
      <c r="F15" s="702"/>
      <c r="G15" s="702"/>
      <c r="H15" s="702"/>
      <c r="I15" s="703"/>
    </row>
    <row r="16" spans="1:14" x14ac:dyDescent="0.25">
      <c r="D16" s="704">
        <v>2853</v>
      </c>
      <c r="E16" s="705"/>
      <c r="F16" s="705"/>
      <c r="G16" s="705"/>
      <c r="H16" s="705"/>
      <c r="I16" s="706"/>
    </row>
    <row r="17" spans="4:12" ht="15.75" thickBot="1" x14ac:dyDescent="0.3">
      <c r="D17" s="707"/>
      <c r="E17" s="708"/>
      <c r="F17" s="708"/>
      <c r="G17" s="708"/>
      <c r="H17" s="708"/>
      <c r="I17" s="709"/>
    </row>
    <row r="19" spans="4:12" ht="15.75" thickBot="1" x14ac:dyDescent="0.3"/>
    <row r="20" spans="4:12" ht="16.5" thickBot="1" x14ac:dyDescent="0.3">
      <c r="D20" s="687" t="s">
        <v>13</v>
      </c>
      <c r="E20" s="688"/>
      <c r="F20" s="689"/>
    </row>
    <row r="21" spans="4:12" ht="15.75" thickBot="1" x14ac:dyDescent="0.3">
      <c r="D21" s="690">
        <f>(D16*0.098)/1000</f>
        <v>0.27959400000000001</v>
      </c>
      <c r="E21" s="691"/>
      <c r="F21" s="692"/>
      <c r="H21" s="699" t="s">
        <v>43</v>
      </c>
      <c r="I21" s="696"/>
      <c r="J21" s="696">
        <v>200105000</v>
      </c>
      <c r="K21" s="696"/>
      <c r="L21" s="697"/>
    </row>
    <row r="22" spans="4:12" x14ac:dyDescent="0.25">
      <c r="D22" s="690"/>
      <c r="E22" s="691"/>
      <c r="F22" s="692"/>
    </row>
    <row r="23" spans="4:12" ht="15.75" thickBot="1" x14ac:dyDescent="0.3">
      <c r="D23" s="693"/>
      <c r="E23" s="694"/>
      <c r="F23" s="695"/>
    </row>
    <row r="24" spans="4:12" x14ac:dyDescent="0.25">
      <c r="D24" s="110" t="s">
        <v>48</v>
      </c>
      <c r="E24" s="110"/>
      <c r="F24" s="110"/>
      <c r="G24" s="110"/>
      <c r="H24" s="110"/>
    </row>
  </sheetData>
  <sheetProtection password="921C" sheet="1" objects="1" scenarios="1" selectLockedCells="1"/>
  <mergeCells count="10">
    <mergeCell ref="A1:N1"/>
    <mergeCell ref="D15:I15"/>
    <mergeCell ref="D16:I17"/>
    <mergeCell ref="J3:J14"/>
    <mergeCell ref="K3:K14"/>
    <mergeCell ref="D20:F20"/>
    <mergeCell ref="D21:F23"/>
    <mergeCell ref="J21:L21"/>
    <mergeCell ref="M3:M14"/>
    <mergeCell ref="H21:I2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/>
  <dimension ref="A1:H22"/>
  <sheetViews>
    <sheetView showGridLines="0" showRowColHeaders="0" workbookViewId="0">
      <selection activeCell="G3" sqref="G3:G9"/>
    </sheetView>
  </sheetViews>
  <sheetFormatPr defaultColWidth="9.140625" defaultRowHeight="12.75" x14ac:dyDescent="0.2"/>
  <cols>
    <col min="1" max="2" width="9.140625" style="105"/>
    <col min="3" max="3" width="12.140625" style="105" customWidth="1"/>
    <col min="4" max="4" width="9.140625" style="105"/>
    <col min="5" max="5" width="11.85546875" style="105" customWidth="1"/>
    <col min="6" max="6" width="2.85546875" style="105" customWidth="1"/>
    <col min="7" max="7" width="6.140625" style="105" customWidth="1"/>
    <col min="8" max="16384" width="9.140625" style="105"/>
  </cols>
  <sheetData>
    <row r="1" spans="1:8" ht="14.25" x14ac:dyDescent="0.2">
      <c r="A1" s="700" t="s">
        <v>44</v>
      </c>
      <c r="B1" s="700"/>
      <c r="C1" s="700"/>
      <c r="D1" s="700"/>
      <c r="E1" s="700"/>
      <c r="F1" s="700"/>
      <c r="G1" s="700"/>
      <c r="H1" s="700"/>
    </row>
    <row r="2" spans="1:8" ht="13.5" thickBot="1" x14ac:dyDescent="0.25">
      <c r="A2" s="96"/>
      <c r="B2" s="96"/>
      <c r="C2" s="96"/>
      <c r="D2" s="96"/>
      <c r="E2" s="96"/>
      <c r="F2" s="96"/>
      <c r="G2" s="96"/>
    </row>
    <row r="3" spans="1:8" x14ac:dyDescent="0.2">
      <c r="A3" s="96"/>
      <c r="B3" s="731"/>
      <c r="C3" s="732"/>
      <c r="D3" s="732"/>
      <c r="E3" s="733"/>
      <c r="F3" s="740" t="s">
        <v>42</v>
      </c>
      <c r="G3" s="743">
        <v>200</v>
      </c>
    </row>
    <row r="4" spans="1:8" x14ac:dyDescent="0.2">
      <c r="A4" s="96"/>
      <c r="B4" s="734"/>
      <c r="C4" s="735"/>
      <c r="D4" s="735"/>
      <c r="E4" s="736"/>
      <c r="F4" s="741"/>
      <c r="G4" s="744"/>
    </row>
    <row r="5" spans="1:8" ht="30.75" customHeight="1" x14ac:dyDescent="0.2">
      <c r="A5" s="96"/>
      <c r="B5" s="734"/>
      <c r="C5" s="735"/>
      <c r="D5" s="735"/>
      <c r="E5" s="736"/>
      <c r="F5" s="741"/>
      <c r="G5" s="744"/>
    </row>
    <row r="6" spans="1:8" x14ac:dyDescent="0.2">
      <c r="A6" s="96"/>
      <c r="B6" s="734"/>
      <c r="C6" s="735"/>
      <c r="D6" s="735"/>
      <c r="E6" s="736"/>
      <c r="F6" s="741"/>
      <c r="G6" s="744"/>
    </row>
    <row r="7" spans="1:8" x14ac:dyDescent="0.2">
      <c r="A7" s="96"/>
      <c r="B7" s="734"/>
      <c r="C7" s="735"/>
      <c r="D7" s="735"/>
      <c r="E7" s="736"/>
      <c r="F7" s="741"/>
      <c r="G7" s="744"/>
    </row>
    <row r="8" spans="1:8" x14ac:dyDescent="0.2">
      <c r="A8" s="96"/>
      <c r="B8" s="734"/>
      <c r="C8" s="735"/>
      <c r="D8" s="735"/>
      <c r="E8" s="736"/>
      <c r="F8" s="741"/>
      <c r="G8" s="744"/>
    </row>
    <row r="9" spans="1:8" ht="13.5" thickBot="1" x14ac:dyDescent="0.25">
      <c r="A9" s="96"/>
      <c r="B9" s="737"/>
      <c r="C9" s="738"/>
      <c r="D9" s="738"/>
      <c r="E9" s="739"/>
      <c r="F9" s="742"/>
      <c r="G9" s="745"/>
    </row>
    <row r="10" spans="1:8" x14ac:dyDescent="0.2">
      <c r="A10" s="96"/>
      <c r="B10" s="746" t="s">
        <v>40</v>
      </c>
      <c r="C10" s="747"/>
      <c r="D10" s="747"/>
      <c r="E10" s="748"/>
      <c r="F10" s="208"/>
      <c r="G10" s="209"/>
    </row>
    <row r="11" spans="1:8" ht="27.75" customHeight="1" thickBot="1" x14ac:dyDescent="0.25">
      <c r="A11" s="96"/>
      <c r="B11" s="719">
        <v>200</v>
      </c>
      <c r="C11" s="720"/>
      <c r="D11" s="720"/>
      <c r="E11" s="749"/>
      <c r="F11" s="210"/>
      <c r="G11" s="96"/>
    </row>
    <row r="12" spans="1:8" ht="13.5" thickBot="1" x14ac:dyDescent="0.25">
      <c r="A12" s="96"/>
      <c r="B12" s="96"/>
      <c r="C12" s="96"/>
      <c r="D12" s="96"/>
      <c r="E12" s="96"/>
      <c r="F12" s="96"/>
      <c r="G12" s="96"/>
    </row>
    <row r="13" spans="1:8" x14ac:dyDescent="0.2">
      <c r="A13" s="96"/>
      <c r="B13" s="750" t="s">
        <v>10</v>
      </c>
      <c r="C13" s="751"/>
      <c r="D13" s="751"/>
      <c r="E13" s="752"/>
      <c r="F13" s="96"/>
      <c r="G13" s="96"/>
    </row>
    <row r="14" spans="1:8" x14ac:dyDescent="0.2">
      <c r="A14" s="96"/>
      <c r="B14" s="716">
        <v>2</v>
      </c>
      <c r="C14" s="717"/>
      <c r="D14" s="717"/>
      <c r="E14" s="718"/>
      <c r="F14" s="96"/>
      <c r="G14" s="96"/>
    </row>
    <row r="15" spans="1:8" ht="13.5" thickBot="1" x14ac:dyDescent="0.25">
      <c r="A15" s="96"/>
      <c r="B15" s="719"/>
      <c r="C15" s="720"/>
      <c r="D15" s="720"/>
      <c r="E15" s="721"/>
      <c r="F15" s="96"/>
      <c r="G15" s="96"/>
    </row>
    <row r="16" spans="1:8" ht="13.5" thickBot="1" x14ac:dyDescent="0.25">
      <c r="A16" s="96"/>
      <c r="B16" s="96"/>
      <c r="C16" s="96"/>
      <c r="D16" s="96"/>
      <c r="E16" s="96"/>
      <c r="F16" s="96"/>
      <c r="G16" s="96"/>
    </row>
    <row r="17" spans="1:7" x14ac:dyDescent="0.2">
      <c r="A17" s="96"/>
      <c r="B17" s="722" t="s">
        <v>41</v>
      </c>
      <c r="C17" s="723"/>
      <c r="D17" s="723"/>
      <c r="E17" s="724"/>
      <c r="F17" s="96"/>
      <c r="G17" s="96"/>
    </row>
    <row r="18" spans="1:7" x14ac:dyDescent="0.2">
      <c r="A18" s="96"/>
      <c r="B18" s="725" t="str">
        <f>((((B11+B11+G3+G3)/1000)*B14)*40)&amp;" Toneladas"</f>
        <v>64 Toneladas</v>
      </c>
      <c r="C18" s="726"/>
      <c r="D18" s="726"/>
      <c r="E18" s="727"/>
      <c r="F18" s="96"/>
      <c r="G18" s="96"/>
    </row>
    <row r="19" spans="1:7" x14ac:dyDescent="0.2">
      <c r="A19" s="96"/>
      <c r="B19" s="725"/>
      <c r="C19" s="726"/>
      <c r="D19" s="726"/>
      <c r="E19" s="727"/>
      <c r="F19" s="96"/>
      <c r="G19" s="96"/>
    </row>
    <row r="20" spans="1:7" x14ac:dyDescent="0.2">
      <c r="A20" s="96"/>
      <c r="B20" s="725"/>
      <c r="C20" s="726"/>
      <c r="D20" s="726"/>
      <c r="E20" s="727"/>
      <c r="F20" s="96"/>
      <c r="G20" s="96"/>
    </row>
    <row r="21" spans="1:7" x14ac:dyDescent="0.2">
      <c r="A21" s="96"/>
      <c r="B21" s="725"/>
      <c r="C21" s="726"/>
      <c r="D21" s="726"/>
      <c r="E21" s="727"/>
      <c r="F21" s="96"/>
      <c r="G21" s="96"/>
    </row>
    <row r="22" spans="1:7" ht="13.5" thickBot="1" x14ac:dyDescent="0.25">
      <c r="A22" s="96"/>
      <c r="B22" s="728"/>
      <c r="C22" s="729"/>
      <c r="D22" s="729"/>
      <c r="E22" s="730"/>
      <c r="F22" s="96"/>
      <c r="G22" s="96"/>
    </row>
  </sheetData>
  <sheetProtection password="921C" sheet="1" objects="1" scenarios="1" selectLockedCells="1"/>
  <mergeCells count="10">
    <mergeCell ref="B14:E15"/>
    <mergeCell ref="B17:E17"/>
    <mergeCell ref="B18:E22"/>
    <mergeCell ref="A1:H1"/>
    <mergeCell ref="B3:E9"/>
    <mergeCell ref="F3:F9"/>
    <mergeCell ref="G3:G9"/>
    <mergeCell ref="B10:E10"/>
    <mergeCell ref="B11:E11"/>
    <mergeCell ref="B13:E13"/>
  </mergeCells>
  <pageMargins left="0.78740157499999996" right="0.78740157499999996" top="0.984251969" bottom="0.984251969" header="0.49212598499999999" footer="0.49212598499999999"/>
  <pageSetup paperSize="9" orientation="portrait" horizontalDpi="1200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4"/>
  <dimension ref="A2:N28"/>
  <sheetViews>
    <sheetView showGridLines="0" showRowColHeaders="0" workbookViewId="0">
      <selection activeCell="D21" sqref="D21"/>
    </sheetView>
  </sheetViews>
  <sheetFormatPr defaultColWidth="9.140625" defaultRowHeight="12.75" x14ac:dyDescent="0.2"/>
  <cols>
    <col min="1" max="1" width="3.42578125" style="84" customWidth="1"/>
    <col min="2" max="2" width="5.7109375" style="84" customWidth="1"/>
    <col min="3" max="3" width="17" style="84" bestFit="1" customWidth="1"/>
    <col min="4" max="4" width="15.28515625" style="84" customWidth="1"/>
    <col min="5" max="5" width="8.28515625" style="84" customWidth="1"/>
    <col min="6" max="6" width="17" style="84" bestFit="1" customWidth="1"/>
    <col min="7" max="7" width="16.7109375" style="84" bestFit="1" customWidth="1"/>
    <col min="8" max="8" width="16.85546875" style="84" customWidth="1"/>
    <col min="9" max="9" width="15.7109375" style="84" bestFit="1" customWidth="1"/>
    <col min="10" max="10" width="5.7109375" style="84" customWidth="1"/>
    <col min="11" max="11" width="9.140625" style="84" customWidth="1"/>
    <col min="12" max="16384" width="9.140625" style="84"/>
  </cols>
  <sheetData>
    <row r="2" spans="1:14" s="112" customFormat="1" ht="14.25" x14ac:dyDescent="0.2">
      <c r="A2" s="111"/>
      <c r="B2" s="753" t="s">
        <v>52</v>
      </c>
      <c r="C2" s="753"/>
      <c r="D2" s="753"/>
      <c r="E2" s="753"/>
      <c r="F2" s="753"/>
      <c r="G2" s="753"/>
      <c r="H2" s="753"/>
      <c r="I2" s="753"/>
      <c r="J2" s="753"/>
      <c r="K2" s="111"/>
      <c r="L2" s="111"/>
      <c r="M2" s="111"/>
      <c r="N2" s="111"/>
    </row>
    <row r="3" spans="1:14" ht="5.0999999999999996" customHeight="1" x14ac:dyDescent="0.25">
      <c r="B3" s="113"/>
      <c r="C3" s="114"/>
      <c r="D3" s="114"/>
      <c r="E3" s="114"/>
      <c r="F3" s="114"/>
      <c r="G3" s="114"/>
      <c r="H3" s="114"/>
      <c r="I3" s="114"/>
      <c r="J3" s="115"/>
    </row>
    <row r="4" spans="1:14" ht="12.75" customHeight="1" x14ac:dyDescent="0.25">
      <c r="B4" s="116"/>
      <c r="C4" s="125" t="s">
        <v>35</v>
      </c>
      <c r="D4" s="126">
        <f>PI()</f>
        <v>3.1415926535897931</v>
      </c>
      <c r="E4" s="127"/>
      <c r="F4" s="128"/>
      <c r="G4" s="129"/>
      <c r="H4" s="130"/>
      <c r="I4" s="130"/>
      <c r="J4" s="118"/>
    </row>
    <row r="5" spans="1:14" ht="12.75" customHeight="1" x14ac:dyDescent="0.25">
      <c r="B5" s="116"/>
      <c r="C5" s="125" t="s">
        <v>36</v>
      </c>
      <c r="D5" s="131">
        <v>25.4</v>
      </c>
      <c r="E5" s="127"/>
      <c r="F5" s="132"/>
      <c r="G5" s="133"/>
      <c r="H5" s="133"/>
      <c r="I5" s="133"/>
      <c r="J5" s="118"/>
    </row>
    <row r="6" spans="1:14" ht="12.75" customHeight="1" x14ac:dyDescent="0.25">
      <c r="B6" s="116"/>
      <c r="C6" s="134"/>
      <c r="D6" s="127"/>
      <c r="E6" s="127"/>
      <c r="F6" s="132"/>
      <c r="G6" s="135" t="s">
        <v>55</v>
      </c>
      <c r="H6" s="135" t="s">
        <v>56</v>
      </c>
      <c r="I6" s="135" t="s">
        <v>57</v>
      </c>
      <c r="J6" s="118"/>
    </row>
    <row r="7" spans="1:14" ht="12.75" customHeight="1" x14ac:dyDescent="0.25">
      <c r="B7" s="116"/>
      <c r="C7" s="125" t="s">
        <v>53</v>
      </c>
      <c r="D7" s="131">
        <v>900</v>
      </c>
      <c r="E7" s="136"/>
      <c r="F7" s="128" t="s">
        <v>37</v>
      </c>
      <c r="G7" s="137">
        <f>D7-(2*D5)</f>
        <v>849.2</v>
      </c>
      <c r="H7" s="137">
        <f>D7-D5</f>
        <v>874.6</v>
      </c>
      <c r="I7" s="137">
        <f>D7</f>
        <v>900</v>
      </c>
      <c r="J7" s="118"/>
    </row>
    <row r="8" spans="1:14" ht="16.5" customHeight="1" x14ac:dyDescent="0.25">
      <c r="B8" s="116"/>
      <c r="C8" s="134"/>
      <c r="D8" s="127"/>
      <c r="E8" s="127"/>
      <c r="F8" s="128" t="s">
        <v>49</v>
      </c>
      <c r="G8" s="124">
        <f>D4*G7</f>
        <v>2667.8404814284527</v>
      </c>
      <c r="H8" s="124">
        <f>D4*H7</f>
        <v>2747.636934829633</v>
      </c>
      <c r="I8" s="124">
        <f>D4*D7</f>
        <v>2827.4333882308138</v>
      </c>
      <c r="J8" s="118"/>
    </row>
    <row r="9" spans="1:14" ht="12.75" customHeight="1" x14ac:dyDescent="0.25">
      <c r="B9" s="116"/>
      <c r="C9" s="134"/>
      <c r="D9" s="127"/>
      <c r="E9" s="127"/>
      <c r="F9" s="127"/>
      <c r="G9" s="127"/>
      <c r="H9" s="127"/>
      <c r="I9" s="127"/>
      <c r="J9" s="118"/>
    </row>
    <row r="10" spans="1:14" ht="12.75" customHeight="1" x14ac:dyDescent="0.25">
      <c r="B10" s="116"/>
      <c r="C10" s="127"/>
      <c r="D10" s="127"/>
      <c r="E10" s="127"/>
      <c r="F10" s="127"/>
      <c r="G10" s="127"/>
      <c r="H10" s="127"/>
      <c r="I10" s="127"/>
      <c r="J10" s="118"/>
    </row>
    <row r="11" spans="1:14" ht="12.75" customHeight="1" thickBot="1" x14ac:dyDescent="0.3">
      <c r="B11" s="116"/>
      <c r="C11" s="127"/>
      <c r="D11" s="127"/>
      <c r="E11" s="127"/>
      <c r="F11" s="127"/>
      <c r="G11" s="127"/>
      <c r="H11" s="127"/>
      <c r="I11" s="127"/>
      <c r="J11" s="118"/>
    </row>
    <row r="12" spans="1:14" ht="12.75" customHeight="1" thickTop="1" x14ac:dyDescent="0.25">
      <c r="B12" s="116"/>
      <c r="C12" s="127"/>
      <c r="D12" s="127"/>
      <c r="E12" s="138" t="s">
        <v>50</v>
      </c>
      <c r="F12" s="139"/>
      <c r="G12" s="140"/>
      <c r="H12" s="127"/>
      <c r="I12" s="127"/>
      <c r="J12" s="118"/>
    </row>
    <row r="13" spans="1:14" ht="18.75" customHeight="1" thickBot="1" x14ac:dyDescent="0.3">
      <c r="B13" s="116"/>
      <c r="C13" s="127"/>
      <c r="D13" s="127"/>
      <c r="E13" s="754" t="s">
        <v>54</v>
      </c>
      <c r="F13" s="755"/>
      <c r="G13" s="756"/>
      <c r="H13" s="127"/>
      <c r="I13" s="127"/>
      <c r="J13" s="118"/>
    </row>
    <row r="14" spans="1:14" ht="5.0999999999999996" customHeight="1" thickTop="1" x14ac:dyDescent="0.2">
      <c r="B14" s="91"/>
      <c r="C14" s="92"/>
      <c r="D14" s="92"/>
      <c r="E14" s="92"/>
      <c r="F14" s="92"/>
      <c r="G14" s="92"/>
      <c r="H14" s="92"/>
      <c r="I14" s="92"/>
      <c r="J14" s="93"/>
    </row>
    <row r="16" spans="1:14" ht="14.25" x14ac:dyDescent="0.2">
      <c r="B16" s="753" t="s">
        <v>58</v>
      </c>
      <c r="C16" s="753"/>
      <c r="D16" s="753"/>
      <c r="E16" s="753"/>
      <c r="F16" s="753"/>
      <c r="G16" s="753"/>
      <c r="H16" s="753"/>
      <c r="I16" s="753"/>
      <c r="J16" s="753"/>
    </row>
    <row r="17" spans="2:10" ht="4.5" customHeight="1" x14ac:dyDescent="0.25">
      <c r="B17" s="113"/>
      <c r="C17" s="114"/>
      <c r="D17" s="114"/>
      <c r="E17" s="114"/>
      <c r="F17" s="114"/>
      <c r="G17" s="114"/>
      <c r="H17" s="114"/>
      <c r="I17" s="114"/>
      <c r="J17" s="115"/>
    </row>
    <row r="18" spans="2:10" ht="12.75" customHeight="1" x14ac:dyDescent="0.25">
      <c r="B18" s="116"/>
      <c r="C18" s="125" t="s">
        <v>35</v>
      </c>
      <c r="D18" s="126">
        <f>PI()</f>
        <v>3.1415926535897931</v>
      </c>
      <c r="E18" s="127"/>
      <c r="F18" s="128"/>
      <c r="G18" s="129"/>
      <c r="H18" s="130"/>
      <c r="I18" s="130"/>
      <c r="J18" s="118"/>
    </row>
    <row r="19" spans="2:10" ht="12.75" customHeight="1" x14ac:dyDescent="0.25">
      <c r="B19" s="116"/>
      <c r="C19" s="125" t="s">
        <v>36</v>
      </c>
      <c r="D19" s="131">
        <v>25.4</v>
      </c>
      <c r="E19" s="127"/>
      <c r="F19" s="132"/>
      <c r="G19" s="133"/>
      <c r="H19" s="133"/>
      <c r="I19" s="133"/>
      <c r="J19" s="118"/>
    </row>
    <row r="20" spans="2:10" ht="15" x14ac:dyDescent="0.25">
      <c r="B20" s="116"/>
      <c r="C20" s="134"/>
      <c r="D20" s="127"/>
      <c r="E20" s="127"/>
      <c r="F20" s="132"/>
      <c r="G20" s="135" t="s">
        <v>55</v>
      </c>
      <c r="H20" s="135" t="s">
        <v>56</v>
      </c>
      <c r="I20" s="135" t="s">
        <v>57</v>
      </c>
      <c r="J20" s="118"/>
    </row>
    <row r="21" spans="2:10" ht="15" customHeight="1" x14ac:dyDescent="0.25">
      <c r="B21" s="116"/>
      <c r="C21" s="125" t="s">
        <v>51</v>
      </c>
      <c r="D21" s="131">
        <v>2827.43</v>
      </c>
      <c r="E21" s="136"/>
      <c r="F21" s="128" t="s">
        <v>37</v>
      </c>
      <c r="G21" s="124">
        <f>I21-(2*D19)</f>
        <v>849.19892149263524</v>
      </c>
      <c r="H21" s="124">
        <f>I21-D19</f>
        <v>874.59892149263521</v>
      </c>
      <c r="I21" s="124">
        <f>D21/D18</f>
        <v>899.99892149263519</v>
      </c>
      <c r="J21" s="118"/>
    </row>
    <row r="22" spans="2:10" ht="12.75" customHeight="1" x14ac:dyDescent="0.25">
      <c r="B22" s="116"/>
      <c r="C22" s="134"/>
      <c r="D22" s="127"/>
      <c r="E22" s="127"/>
      <c r="F22" s="128" t="s">
        <v>49</v>
      </c>
      <c r="G22" s="137">
        <f>D18*G21</f>
        <v>2667.8370931976383</v>
      </c>
      <c r="H22" s="137">
        <f>D18*H21</f>
        <v>2747.6335465988191</v>
      </c>
      <c r="I22" s="137">
        <f>D21</f>
        <v>2827.43</v>
      </c>
      <c r="J22" s="118"/>
    </row>
    <row r="23" spans="2:10" ht="15" x14ac:dyDescent="0.25">
      <c r="B23" s="116"/>
      <c r="C23" s="119"/>
      <c r="D23" s="117"/>
      <c r="E23" s="117"/>
      <c r="F23" s="117"/>
      <c r="G23" s="117"/>
      <c r="H23" s="117"/>
      <c r="I23" s="117"/>
      <c r="J23" s="118"/>
    </row>
    <row r="24" spans="2:10" ht="15" x14ac:dyDescent="0.25">
      <c r="B24" s="116"/>
      <c r="C24" s="117"/>
      <c r="D24" s="117"/>
      <c r="E24" s="117"/>
      <c r="F24" s="117"/>
      <c r="G24" s="117"/>
      <c r="H24" s="117"/>
      <c r="I24" s="117"/>
      <c r="J24" s="118"/>
    </row>
    <row r="25" spans="2:10" ht="15.75" thickBot="1" x14ac:dyDescent="0.3">
      <c r="B25" s="116"/>
      <c r="C25" s="117"/>
      <c r="D25" s="117"/>
      <c r="E25" s="117"/>
      <c r="F25" s="117"/>
      <c r="G25" s="117"/>
      <c r="H25" s="117"/>
      <c r="I25" s="117"/>
      <c r="J25" s="118"/>
    </row>
    <row r="26" spans="2:10" ht="15.75" thickTop="1" x14ac:dyDescent="0.25">
      <c r="B26" s="116"/>
      <c r="C26" s="117"/>
      <c r="D26" s="117"/>
      <c r="E26" s="138" t="s">
        <v>50</v>
      </c>
      <c r="F26" s="139"/>
      <c r="G26" s="140"/>
      <c r="H26" s="117"/>
      <c r="I26" s="117"/>
      <c r="J26" s="118"/>
    </row>
    <row r="27" spans="2:10" ht="15.75" thickBot="1" x14ac:dyDescent="0.3">
      <c r="B27" s="116"/>
      <c r="C27" s="117"/>
      <c r="D27" s="117"/>
      <c r="E27" s="754" t="s">
        <v>59</v>
      </c>
      <c r="F27" s="755"/>
      <c r="G27" s="756"/>
      <c r="H27" s="117"/>
      <c r="I27" s="117"/>
      <c r="J27" s="118"/>
    </row>
    <row r="28" spans="2:10" ht="4.5" customHeight="1" thickTop="1" x14ac:dyDescent="0.25">
      <c r="B28" s="121"/>
      <c r="C28" s="122"/>
      <c r="D28" s="122"/>
      <c r="E28" s="122"/>
      <c r="F28" s="122"/>
      <c r="G28" s="122"/>
      <c r="H28" s="122"/>
      <c r="I28" s="122"/>
      <c r="J28" s="123"/>
    </row>
  </sheetData>
  <sheetProtection password="921C" sheet="1" objects="1" scenarios="1" selectLockedCells="1"/>
  <mergeCells count="4">
    <mergeCell ref="B16:J16"/>
    <mergeCell ref="E27:G27"/>
    <mergeCell ref="B2:J2"/>
    <mergeCell ref="E13:G13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5"/>
  <dimension ref="A1:R21"/>
  <sheetViews>
    <sheetView showGridLines="0" showRowColHeaders="0" zoomScaleSheetLayoutView="100" workbookViewId="0">
      <selection activeCell="K3" sqref="K3:K13"/>
    </sheetView>
  </sheetViews>
  <sheetFormatPr defaultRowHeight="15" x14ac:dyDescent="0.25"/>
  <cols>
    <col min="1" max="1" width="16" customWidth="1"/>
    <col min="2" max="2" width="19.85546875" customWidth="1"/>
    <col min="4" max="4" width="9.85546875" bestFit="1" customWidth="1"/>
    <col min="7" max="7" width="9.140625" customWidth="1"/>
    <col min="8" max="8" width="7.5703125" customWidth="1"/>
    <col min="9" max="9" width="4.28515625" customWidth="1"/>
    <col min="10" max="10" width="2.85546875" customWidth="1"/>
    <col min="11" max="11" width="11.85546875" customWidth="1"/>
  </cols>
  <sheetData>
    <row r="1" spans="1:18" x14ac:dyDescent="0.25">
      <c r="A1" s="700" t="s">
        <v>60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107"/>
      <c r="R1" s="107"/>
    </row>
    <row r="2" spans="1:18" ht="22.5" customHeight="1" x14ac:dyDescent="0.25"/>
    <row r="3" spans="1:18" x14ac:dyDescent="0.25">
      <c r="A3" s="109"/>
      <c r="I3" s="279"/>
      <c r="J3" s="758" t="s">
        <v>61</v>
      </c>
      <c r="K3" s="761">
        <v>100</v>
      </c>
    </row>
    <row r="4" spans="1:18" ht="18" customHeight="1" x14ac:dyDescent="0.25">
      <c r="A4" s="109"/>
      <c r="I4" s="279"/>
      <c r="J4" s="758"/>
      <c r="K4" s="761"/>
    </row>
    <row r="5" spans="1:18" x14ac:dyDescent="0.25">
      <c r="A5" s="109"/>
      <c r="I5" s="279"/>
      <c r="J5" s="758"/>
      <c r="K5" s="761"/>
    </row>
    <row r="6" spans="1:18" x14ac:dyDescent="0.25">
      <c r="A6" s="109"/>
      <c r="I6" s="279"/>
      <c r="J6" s="758"/>
      <c r="K6" s="761"/>
    </row>
    <row r="7" spans="1:18" x14ac:dyDescent="0.25">
      <c r="A7" s="109"/>
      <c r="I7" s="279"/>
      <c r="J7" s="758"/>
      <c r="K7" s="761"/>
    </row>
    <row r="8" spans="1:18" x14ac:dyDescent="0.25">
      <c r="I8" s="279"/>
      <c r="J8" s="758"/>
      <c r="K8" s="761"/>
    </row>
    <row r="9" spans="1:18" x14ac:dyDescent="0.25">
      <c r="A9" s="757"/>
      <c r="B9" s="757"/>
      <c r="C9" s="757"/>
      <c r="D9" s="757"/>
      <c r="E9" s="757"/>
      <c r="F9" s="757"/>
      <c r="G9" s="757"/>
      <c r="I9" s="279"/>
      <c r="J9" s="758"/>
      <c r="K9" s="761"/>
    </row>
    <row r="10" spans="1:18" x14ac:dyDescent="0.25">
      <c r="I10" s="279"/>
      <c r="J10" s="758"/>
      <c r="K10" s="761"/>
    </row>
    <row r="11" spans="1:18" x14ac:dyDescent="0.25">
      <c r="I11" s="279"/>
      <c r="J11" s="758"/>
      <c r="K11" s="761"/>
    </row>
    <row r="12" spans="1:18" ht="9.75" customHeight="1" x14ac:dyDescent="0.25">
      <c r="I12" s="279"/>
      <c r="J12" s="758"/>
      <c r="K12" s="761"/>
    </row>
    <row r="13" spans="1:18" ht="15" customHeight="1" x14ac:dyDescent="0.25">
      <c r="C13" s="279"/>
      <c r="D13" s="279"/>
      <c r="E13" s="279"/>
      <c r="F13" s="279"/>
      <c r="G13" s="279"/>
      <c r="H13" s="279"/>
      <c r="I13" s="760" t="s">
        <v>46</v>
      </c>
      <c r="J13" s="760"/>
      <c r="K13" s="761"/>
    </row>
    <row r="14" spans="1:18" ht="15" customHeight="1" x14ac:dyDescent="0.25">
      <c r="C14" s="279"/>
      <c r="D14" s="279"/>
      <c r="E14" s="279"/>
      <c r="F14" s="279"/>
      <c r="G14" s="279"/>
      <c r="H14" s="279"/>
      <c r="I14" s="760"/>
      <c r="J14" s="760"/>
      <c r="K14" s="762"/>
    </row>
    <row r="15" spans="1:18" x14ac:dyDescent="0.25">
      <c r="C15" s="279"/>
      <c r="D15" s="279"/>
      <c r="E15" s="279"/>
      <c r="F15" s="279"/>
      <c r="G15" s="279"/>
      <c r="H15" s="280"/>
      <c r="I15" s="760"/>
      <c r="J15" s="760"/>
      <c r="K15" s="762"/>
    </row>
    <row r="16" spans="1:18" x14ac:dyDescent="0.25">
      <c r="C16" s="759" t="s">
        <v>12</v>
      </c>
      <c r="D16" s="759"/>
      <c r="E16" s="759"/>
      <c r="F16" s="759"/>
      <c r="G16" s="759"/>
      <c r="H16" s="279"/>
      <c r="I16" s="760"/>
      <c r="J16" s="760"/>
      <c r="K16" s="762"/>
    </row>
    <row r="17" spans="3:11" ht="57" customHeight="1" x14ac:dyDescent="0.25">
      <c r="C17" s="766">
        <v>500</v>
      </c>
      <c r="D17" s="766"/>
      <c r="E17" s="766"/>
      <c r="F17" s="766"/>
      <c r="G17" s="766"/>
      <c r="H17" s="762"/>
      <c r="I17" s="762"/>
      <c r="J17" s="762"/>
      <c r="K17" s="141">
        <v>200</v>
      </c>
    </row>
    <row r="19" spans="3:11" ht="36" customHeight="1" x14ac:dyDescent="0.25">
      <c r="C19" s="763" t="s">
        <v>62</v>
      </c>
      <c r="D19" s="763"/>
      <c r="E19" s="764">
        <f>(C17/1000)*(K17/1000)*(K3/1000)*1000</f>
        <v>10.000000000000002</v>
      </c>
      <c r="F19" s="764"/>
      <c r="G19" s="764"/>
      <c r="H19" s="765">
        <f>E19/1000</f>
        <v>1.0000000000000002E-2</v>
      </c>
      <c r="I19" s="765"/>
      <c r="J19" s="765"/>
      <c r="K19" s="765"/>
    </row>
    <row r="21" spans="3:11" x14ac:dyDescent="0.25">
      <c r="I21" s="281"/>
    </row>
  </sheetData>
  <sheetProtection password="921C" sheet="1" objects="1" scenarios="1" selectLockedCells="1"/>
  <mergeCells count="12">
    <mergeCell ref="C19:D19"/>
    <mergeCell ref="E19:G19"/>
    <mergeCell ref="H19:K19"/>
    <mergeCell ref="C17:G17"/>
    <mergeCell ref="H17:J17"/>
    <mergeCell ref="A1:P1"/>
    <mergeCell ref="A9:G9"/>
    <mergeCell ref="J3:J12"/>
    <mergeCell ref="C16:G16"/>
    <mergeCell ref="I13:J16"/>
    <mergeCell ref="K3:K13"/>
    <mergeCell ref="K14:K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6">
    <pageSetUpPr fitToPage="1"/>
  </sheetPr>
  <dimension ref="A1:H65497"/>
  <sheetViews>
    <sheetView showGridLines="0" workbookViewId="0">
      <selection activeCell="B22" sqref="B22:G22"/>
    </sheetView>
  </sheetViews>
  <sheetFormatPr defaultColWidth="9.5703125" defaultRowHeight="15" customHeight="1" x14ac:dyDescent="0.2"/>
  <cols>
    <col min="1" max="3" width="9.5703125" style="105"/>
    <col min="4" max="4" width="17.7109375" style="105" customWidth="1"/>
    <col min="5" max="16384" width="9.5703125" style="105"/>
  </cols>
  <sheetData>
    <row r="1" spans="1:5" ht="15" customHeight="1" x14ac:dyDescent="0.2">
      <c r="A1" s="107"/>
      <c r="B1" s="107"/>
    </row>
    <row r="2" spans="1:5" ht="15" customHeight="1" thickBot="1" x14ac:dyDescent="0.25">
      <c r="A2" s="537" t="s">
        <v>70</v>
      </c>
    </row>
    <row r="5" spans="1:5" ht="15" customHeight="1" x14ac:dyDescent="0.2">
      <c r="A5" s="771" t="s">
        <v>315</v>
      </c>
      <c r="B5" s="771"/>
      <c r="C5" s="771"/>
      <c r="D5" s="771"/>
      <c r="E5" s="771"/>
    </row>
    <row r="6" spans="1:5" ht="15" customHeight="1" x14ac:dyDescent="0.2">
      <c r="A6" s="777" t="s">
        <v>310</v>
      </c>
      <c r="B6" s="777"/>
      <c r="C6" s="777"/>
      <c r="D6" s="538">
        <v>20</v>
      </c>
      <c r="E6" s="538" t="s">
        <v>309</v>
      </c>
    </row>
    <row r="7" spans="1:5" ht="15" customHeight="1" x14ac:dyDescent="0.2">
      <c r="A7" s="777" t="s">
        <v>311</v>
      </c>
      <c r="B7" s="777"/>
      <c r="C7" s="777"/>
      <c r="D7" s="538">
        <v>18</v>
      </c>
      <c r="E7" s="538" t="s">
        <v>312</v>
      </c>
    </row>
    <row r="8" spans="1:5" ht="15" customHeight="1" x14ac:dyDescent="0.2">
      <c r="A8" s="777" t="s">
        <v>313</v>
      </c>
      <c r="B8" s="777"/>
      <c r="C8" s="777"/>
      <c r="D8" s="539">
        <v>0.05</v>
      </c>
      <c r="E8" s="538"/>
    </row>
    <row r="9" spans="1:5" ht="15" customHeight="1" x14ac:dyDescent="0.2">
      <c r="A9" s="767" t="s">
        <v>314</v>
      </c>
      <c r="B9" s="768"/>
      <c r="C9" s="769"/>
      <c r="D9" s="538">
        <f>D7-(D7*D8)</f>
        <v>17.100000000000001</v>
      </c>
      <c r="E9" s="538" t="s">
        <v>312</v>
      </c>
    </row>
    <row r="10" spans="1:5" ht="15" customHeight="1" x14ac:dyDescent="0.2">
      <c r="A10" s="777" t="s">
        <v>319</v>
      </c>
      <c r="B10" s="777"/>
      <c r="C10" s="777"/>
      <c r="D10" s="538">
        <v>15</v>
      </c>
      <c r="E10" s="538" t="s">
        <v>318</v>
      </c>
    </row>
    <row r="11" spans="1:5" ht="15" customHeight="1" x14ac:dyDescent="0.2">
      <c r="A11" s="777"/>
      <c r="B11" s="777"/>
      <c r="C11" s="777"/>
      <c r="D11" s="542"/>
      <c r="E11" s="538"/>
    </row>
    <row r="12" spans="1:5" ht="15" customHeight="1" x14ac:dyDescent="0.2">
      <c r="A12" s="777"/>
      <c r="B12" s="777"/>
      <c r="C12" s="777"/>
      <c r="D12" s="538"/>
      <c r="E12" s="538"/>
    </row>
    <row r="15" spans="1:5" ht="35.25" customHeight="1" x14ac:dyDescent="0.2">
      <c r="C15" s="540" t="s">
        <v>316</v>
      </c>
      <c r="D15" s="541">
        <v>0.01</v>
      </c>
      <c r="E15" s="540" t="s">
        <v>75</v>
      </c>
    </row>
    <row r="17" spans="1:7" ht="30.75" customHeight="1" x14ac:dyDescent="0.25">
      <c r="A17" s="772" t="s">
        <v>317</v>
      </c>
      <c r="B17" s="773"/>
      <c r="C17" s="774"/>
      <c r="D17" s="543">
        <f>(D15/D10)*2</f>
        <v>1.3333333333333333E-3</v>
      </c>
      <c r="E17" s="775" t="s">
        <v>67</v>
      </c>
      <c r="F17" s="776"/>
    </row>
    <row r="22" spans="1:7" ht="15" customHeight="1" x14ac:dyDescent="0.25">
      <c r="B22" s="770" t="s">
        <v>308</v>
      </c>
      <c r="C22" s="770"/>
      <c r="D22" s="770"/>
      <c r="E22" s="770"/>
      <c r="F22" s="770"/>
      <c r="G22" s="770"/>
    </row>
    <row r="65497" spans="7:8" ht="15" customHeight="1" x14ac:dyDescent="0.2">
      <c r="G65497" s="476"/>
      <c r="H65497" s="476"/>
    </row>
  </sheetData>
  <sheetProtection sheet="1" objects="1" scenarios="1" selectLockedCells="1"/>
  <mergeCells count="11">
    <mergeCell ref="A9:C9"/>
    <mergeCell ref="B22:G22"/>
    <mergeCell ref="A5:E5"/>
    <mergeCell ref="A17:C17"/>
    <mergeCell ref="E17:F17"/>
    <mergeCell ref="A10:C10"/>
    <mergeCell ref="A11:C11"/>
    <mergeCell ref="A12:C12"/>
    <mergeCell ref="A6:C6"/>
    <mergeCell ref="A7:C7"/>
    <mergeCell ref="A8:C8"/>
  </mergeCells>
  <hyperlinks>
    <hyperlink ref="B22" r:id="rId1" xr:uid="{00000000-0004-0000-0F00-000000000000}"/>
  </hyperlinks>
  <pageMargins left="0.78740157480314965" right="0.78740157480314965" top="0.98425196850393704" bottom="0.98425196850393704" header="0.51181102362204722" footer="0.51181102362204722"/>
  <pageSetup paperSize="9" scale="67" orientation="landscape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7"/>
  <dimension ref="A1:T65502"/>
  <sheetViews>
    <sheetView showGridLines="0" workbookViewId="0">
      <selection activeCell="D11" sqref="D11:G13"/>
    </sheetView>
  </sheetViews>
  <sheetFormatPr defaultColWidth="9.140625" defaultRowHeight="12.75" x14ac:dyDescent="0.2"/>
  <cols>
    <col min="1" max="11" width="9.140625" style="105"/>
    <col min="12" max="12" width="5" style="105" customWidth="1"/>
    <col min="13" max="13" width="0" style="105" hidden="1" customWidth="1"/>
    <col min="14" max="14" width="12" style="105" hidden="1" customWidth="1"/>
    <col min="15" max="15" width="11.7109375" style="105" customWidth="1"/>
    <col min="16" max="16" width="34.42578125" style="105" customWidth="1"/>
    <col min="17" max="17" width="3" style="105" customWidth="1"/>
    <col min="18" max="19" width="9.140625" style="105"/>
    <col min="20" max="20" width="10" style="105" bestFit="1" customWidth="1"/>
    <col min="21" max="16384" width="9.140625" style="105"/>
  </cols>
  <sheetData>
    <row r="1" spans="1:11" ht="15" customHeight="1" thickBot="1" x14ac:dyDescent="0.25">
      <c r="A1" s="700" t="s">
        <v>74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</row>
    <row r="2" spans="1:11" x14ac:dyDescent="0.2">
      <c r="A2" s="142"/>
      <c r="B2" s="143"/>
      <c r="C2" s="143"/>
      <c r="D2" s="143"/>
      <c r="E2" s="143"/>
      <c r="F2" s="143"/>
      <c r="G2" s="143"/>
      <c r="H2" s="143"/>
      <c r="I2" s="143"/>
      <c r="J2" s="797" t="s">
        <v>306</v>
      </c>
      <c r="K2" s="798"/>
    </row>
    <row r="3" spans="1:11" ht="13.5" thickBot="1" x14ac:dyDescent="0.25">
      <c r="A3" s="144"/>
      <c r="B3" s="106"/>
      <c r="C3" s="106"/>
      <c r="D3" s="106"/>
      <c r="E3" s="106"/>
      <c r="F3" s="106"/>
      <c r="G3" s="106"/>
      <c r="H3" s="106"/>
      <c r="I3" s="106"/>
      <c r="J3" s="799"/>
      <c r="K3" s="800"/>
    </row>
    <row r="4" spans="1:11" x14ac:dyDescent="0.2">
      <c r="A4" s="144"/>
      <c r="B4" s="106"/>
      <c r="C4" s="106"/>
      <c r="D4" s="801" t="s">
        <v>71</v>
      </c>
      <c r="E4" s="802"/>
      <c r="F4" s="802"/>
      <c r="G4" s="803"/>
      <c r="H4" s="810">
        <v>186</v>
      </c>
      <c r="I4" s="106"/>
      <c r="J4" s="811">
        <f>((((H4*D11)/1000000)*2)/4)*1.2</f>
        <v>0.12688920000000001</v>
      </c>
      <c r="K4" s="812"/>
    </row>
    <row r="5" spans="1:11" x14ac:dyDescent="0.2">
      <c r="A5" s="144"/>
      <c r="B5" s="106"/>
      <c r="C5" s="106"/>
      <c r="D5" s="804"/>
      <c r="E5" s="805"/>
      <c r="F5" s="805"/>
      <c r="G5" s="806"/>
      <c r="H5" s="810"/>
      <c r="I5" s="106"/>
      <c r="J5" s="811"/>
      <c r="K5" s="812"/>
    </row>
    <row r="6" spans="1:11" x14ac:dyDescent="0.2">
      <c r="A6" s="144"/>
      <c r="B6" s="106"/>
      <c r="C6" s="106"/>
      <c r="D6" s="804"/>
      <c r="E6" s="805"/>
      <c r="F6" s="805"/>
      <c r="G6" s="806"/>
      <c r="H6" s="810"/>
      <c r="I6" s="106"/>
      <c r="J6" s="811"/>
      <c r="K6" s="812"/>
    </row>
    <row r="7" spans="1:11" x14ac:dyDescent="0.2">
      <c r="A7" s="795" t="s">
        <v>73</v>
      </c>
      <c r="B7" s="796"/>
      <c r="C7" s="815"/>
      <c r="D7" s="804"/>
      <c r="E7" s="805"/>
      <c r="F7" s="805"/>
      <c r="G7" s="806"/>
      <c r="H7" s="810"/>
      <c r="I7" s="106"/>
      <c r="J7" s="811"/>
      <c r="K7" s="812"/>
    </row>
    <row r="8" spans="1:11" x14ac:dyDescent="0.2">
      <c r="A8" s="144"/>
      <c r="B8" s="106"/>
      <c r="C8" s="106"/>
      <c r="D8" s="804"/>
      <c r="E8" s="805"/>
      <c r="F8" s="805"/>
      <c r="G8" s="806"/>
      <c r="H8" s="810"/>
      <c r="I8" s="106"/>
      <c r="J8" s="811"/>
      <c r="K8" s="812"/>
    </row>
    <row r="9" spans="1:11" x14ac:dyDescent="0.2">
      <c r="A9" s="144"/>
      <c r="B9" s="106"/>
      <c r="C9" s="106"/>
      <c r="D9" s="804"/>
      <c r="E9" s="805"/>
      <c r="F9" s="805"/>
      <c r="G9" s="806"/>
      <c r="H9" s="810"/>
      <c r="I9" s="106"/>
      <c r="J9" s="811"/>
      <c r="K9" s="812"/>
    </row>
    <row r="10" spans="1:11" ht="13.5" thickBot="1" x14ac:dyDescent="0.25">
      <c r="A10" s="144"/>
      <c r="B10" s="106"/>
      <c r="C10" s="106"/>
      <c r="D10" s="807"/>
      <c r="E10" s="808"/>
      <c r="F10" s="808"/>
      <c r="G10" s="809"/>
      <c r="H10" s="810"/>
      <c r="I10" s="106"/>
      <c r="J10" s="813"/>
      <c r="K10" s="814"/>
    </row>
    <row r="11" spans="1:11" ht="12.75" customHeight="1" x14ac:dyDescent="0.2">
      <c r="A11" s="144"/>
      <c r="B11" s="106"/>
      <c r="C11" s="106"/>
      <c r="D11" s="788">
        <v>1137</v>
      </c>
      <c r="E11" s="788"/>
      <c r="F11" s="788"/>
      <c r="G11" s="788"/>
      <c r="H11" s="106"/>
      <c r="I11" s="106"/>
      <c r="J11" s="106"/>
      <c r="K11" s="145"/>
    </row>
    <row r="12" spans="1:11" ht="12.75" customHeight="1" x14ac:dyDescent="0.2">
      <c r="A12" s="144"/>
      <c r="B12" s="106"/>
      <c r="C12" s="106"/>
      <c r="D12" s="789"/>
      <c r="E12" s="789"/>
      <c r="F12" s="789"/>
      <c r="G12" s="789"/>
      <c r="H12" s="106"/>
      <c r="I12" s="106"/>
      <c r="J12" s="106"/>
      <c r="K12" s="145"/>
    </row>
    <row r="13" spans="1:11" ht="12.75" customHeight="1" x14ac:dyDescent="0.2">
      <c r="A13" s="144"/>
      <c r="B13" s="106"/>
      <c r="C13" s="106"/>
      <c r="D13" s="789"/>
      <c r="E13" s="789"/>
      <c r="F13" s="789"/>
      <c r="G13" s="789"/>
      <c r="H13" s="106"/>
      <c r="I13" s="106"/>
      <c r="J13" s="106"/>
      <c r="K13" s="145"/>
    </row>
    <row r="14" spans="1:11" x14ac:dyDescent="0.2">
      <c r="A14" s="144"/>
      <c r="B14" s="106"/>
      <c r="C14" s="106"/>
      <c r="D14" s="106"/>
      <c r="E14" s="106"/>
      <c r="F14" s="106"/>
      <c r="G14" s="106"/>
      <c r="H14" s="106"/>
      <c r="I14" s="106"/>
      <c r="J14" s="106"/>
      <c r="K14" s="145"/>
    </row>
    <row r="15" spans="1:11" x14ac:dyDescent="0.2">
      <c r="A15" s="144"/>
      <c r="B15" s="106"/>
      <c r="C15" s="106"/>
      <c r="D15" s="106"/>
      <c r="E15" s="106"/>
      <c r="F15" s="106"/>
      <c r="G15" s="106"/>
      <c r="H15" s="106"/>
      <c r="I15" s="106"/>
      <c r="J15" s="106"/>
      <c r="K15" s="145"/>
    </row>
    <row r="16" spans="1:11" x14ac:dyDescent="0.2">
      <c r="A16" s="144"/>
      <c r="B16" s="106"/>
      <c r="C16" s="106"/>
      <c r="D16" s="106"/>
      <c r="E16" s="106"/>
      <c r="F16" s="106"/>
      <c r="G16" s="106"/>
      <c r="H16" s="106"/>
      <c r="I16" s="106"/>
      <c r="J16" s="106"/>
      <c r="K16" s="145"/>
    </row>
    <row r="17" spans="1:20" x14ac:dyDescent="0.2">
      <c r="A17" s="144"/>
      <c r="B17" s="106"/>
      <c r="C17" s="106"/>
      <c r="D17" s="106"/>
      <c r="E17" s="106"/>
      <c r="F17" s="106"/>
      <c r="G17" s="106"/>
      <c r="H17" s="106"/>
      <c r="I17" s="106"/>
      <c r="J17" s="106"/>
      <c r="K17" s="145"/>
    </row>
    <row r="18" spans="1:20" ht="12.75" customHeight="1" thickBot="1" x14ac:dyDescent="0.25">
      <c r="A18" s="144"/>
      <c r="B18" s="106"/>
      <c r="C18" s="106"/>
      <c r="D18" s="106"/>
      <c r="E18" s="106"/>
      <c r="F18" s="106"/>
      <c r="G18" s="106"/>
      <c r="H18" s="106"/>
      <c r="I18" s="106"/>
      <c r="J18" s="106"/>
      <c r="K18" s="145"/>
      <c r="O18" s="783" t="s">
        <v>274</v>
      </c>
      <c r="P18" s="783"/>
      <c r="Q18" s="783"/>
      <c r="R18" s="783"/>
      <c r="S18" s="783"/>
      <c r="T18" s="783"/>
    </row>
    <row r="19" spans="1:20" ht="12.75" customHeight="1" x14ac:dyDescent="0.2">
      <c r="A19" s="144"/>
      <c r="B19" s="106"/>
      <c r="C19" s="106"/>
      <c r="D19" s="106"/>
      <c r="E19" s="106"/>
      <c r="F19" s="106"/>
      <c r="G19" s="106"/>
      <c r="H19" s="106"/>
      <c r="I19" s="106"/>
      <c r="J19" s="797" t="s">
        <v>306</v>
      </c>
      <c r="K19" s="798"/>
      <c r="O19" s="149" t="s">
        <v>63</v>
      </c>
      <c r="P19" s="150" t="s">
        <v>64</v>
      </c>
      <c r="Q19" s="784" t="s">
        <v>23</v>
      </c>
      <c r="R19" s="785"/>
      <c r="S19" s="786"/>
      <c r="T19" s="149" t="s">
        <v>65</v>
      </c>
    </row>
    <row r="20" spans="1:20" x14ac:dyDescent="0.2">
      <c r="A20" s="144"/>
      <c r="B20" s="106"/>
      <c r="C20" s="106"/>
      <c r="D20" s="106"/>
      <c r="E20" s="106"/>
      <c r="F20" s="790" t="s">
        <v>72</v>
      </c>
      <c r="G20" s="790"/>
      <c r="H20" s="106"/>
      <c r="I20" s="106"/>
      <c r="J20" s="799"/>
      <c r="K20" s="800"/>
      <c r="L20" s="106"/>
      <c r="M20" s="106"/>
      <c r="N20" s="106"/>
      <c r="O20" s="155">
        <v>105052000</v>
      </c>
      <c r="P20" s="155" t="s">
        <v>66</v>
      </c>
      <c r="Q20" s="779">
        <f>Q22/1.8</f>
        <v>0.11798570933333334</v>
      </c>
      <c r="R20" s="780"/>
      <c r="S20" s="156" t="s">
        <v>67</v>
      </c>
      <c r="T20" s="151">
        <f>Q20/Q22</f>
        <v>0.55555555555555558</v>
      </c>
    </row>
    <row r="21" spans="1:20" x14ac:dyDescent="0.2">
      <c r="A21" s="144"/>
      <c r="B21" s="106"/>
      <c r="C21" s="106"/>
      <c r="D21" s="106"/>
      <c r="E21" s="106"/>
      <c r="F21" s="789">
        <v>88.9</v>
      </c>
      <c r="G21" s="789"/>
      <c r="H21" s="106"/>
      <c r="I21" s="106"/>
      <c r="J21" s="791">
        <f>((((F21*3.14)*F24)/1000000)/4.5)*1.2</f>
        <v>0.21237427680000001</v>
      </c>
      <c r="K21" s="792"/>
      <c r="L21" s="106"/>
      <c r="M21" s="106"/>
      <c r="N21" s="106"/>
      <c r="O21" s="152">
        <v>105040000</v>
      </c>
      <c r="P21" s="155" t="s">
        <v>68</v>
      </c>
      <c r="Q21" s="779">
        <f>Q22-Q20</f>
        <v>9.438856746666667E-2</v>
      </c>
      <c r="R21" s="780"/>
      <c r="S21" s="157" t="s">
        <v>67</v>
      </c>
      <c r="T21" s="151">
        <f>Q21/Q22</f>
        <v>0.44444444444444442</v>
      </c>
    </row>
    <row r="22" spans="1:20" x14ac:dyDescent="0.2">
      <c r="A22" s="144"/>
      <c r="B22" s="106"/>
      <c r="C22" s="106"/>
      <c r="D22" s="106"/>
      <c r="E22" s="106"/>
      <c r="F22" s="789"/>
      <c r="G22" s="789"/>
      <c r="H22" s="106"/>
      <c r="I22" s="106"/>
      <c r="J22" s="791"/>
      <c r="K22" s="792"/>
      <c r="L22" s="106"/>
      <c r="M22" s="106"/>
      <c r="N22" s="106"/>
      <c r="O22" s="153"/>
      <c r="P22" s="153"/>
      <c r="Q22" s="781">
        <f>J21</f>
        <v>0.21237427680000001</v>
      </c>
      <c r="R22" s="782"/>
      <c r="S22" s="158" t="s">
        <v>67</v>
      </c>
      <c r="T22" s="154">
        <f>Q22/Q22</f>
        <v>1</v>
      </c>
    </row>
    <row r="23" spans="1:20" x14ac:dyDescent="0.2">
      <c r="A23" s="795" t="s">
        <v>69</v>
      </c>
      <c r="B23" s="796"/>
      <c r="C23" s="796"/>
      <c r="D23" s="106"/>
      <c r="E23" s="106"/>
      <c r="F23" s="790" t="s">
        <v>12</v>
      </c>
      <c r="G23" s="790"/>
      <c r="H23" s="106"/>
      <c r="I23" s="106"/>
      <c r="J23" s="791"/>
      <c r="K23" s="792"/>
      <c r="L23" s="106"/>
      <c r="M23" s="106"/>
      <c r="N23" s="106"/>
      <c r="O23" s="106"/>
      <c r="P23" s="106"/>
      <c r="Q23" s="106"/>
      <c r="R23" s="106"/>
      <c r="S23" s="106"/>
      <c r="T23" s="106"/>
    </row>
    <row r="24" spans="1:20" ht="12.75" customHeight="1" x14ac:dyDescent="0.2">
      <c r="A24" s="144"/>
      <c r="B24" s="106"/>
      <c r="C24" s="106"/>
      <c r="D24" s="106"/>
      <c r="E24" s="106"/>
      <c r="F24" s="789">
        <v>2853</v>
      </c>
      <c r="G24" s="789"/>
      <c r="H24" s="106"/>
      <c r="I24" s="106"/>
      <c r="J24" s="791"/>
      <c r="K24" s="792"/>
      <c r="L24" s="106"/>
      <c r="M24" s="106"/>
      <c r="N24" s="106"/>
      <c r="O24" s="787" t="s">
        <v>273</v>
      </c>
      <c r="P24" s="787"/>
      <c r="Q24" s="787"/>
      <c r="R24" s="787"/>
      <c r="S24" s="787"/>
      <c r="T24" s="787"/>
    </row>
    <row r="25" spans="1:20" ht="12.75" customHeight="1" x14ac:dyDescent="0.2">
      <c r="A25" s="144"/>
      <c r="B25" s="106"/>
      <c r="C25" s="106"/>
      <c r="D25" s="106"/>
      <c r="E25" s="106"/>
      <c r="F25" s="789"/>
      <c r="G25" s="789"/>
      <c r="H25" s="106"/>
      <c r="I25" s="106"/>
      <c r="J25" s="791"/>
      <c r="K25" s="792"/>
      <c r="L25" s="106"/>
      <c r="M25" s="106"/>
      <c r="N25" s="106"/>
      <c r="O25" s="149" t="s">
        <v>63</v>
      </c>
      <c r="P25" s="150" t="s">
        <v>64</v>
      </c>
      <c r="Q25" s="784" t="s">
        <v>23</v>
      </c>
      <c r="R25" s="785"/>
      <c r="S25" s="786"/>
      <c r="T25" s="149" t="s">
        <v>65</v>
      </c>
    </row>
    <row r="26" spans="1:20" x14ac:dyDescent="0.2">
      <c r="A26" s="144"/>
      <c r="B26" s="106"/>
      <c r="C26" s="106"/>
      <c r="D26" s="106"/>
      <c r="E26" s="106"/>
      <c r="F26" s="106"/>
      <c r="G26" s="106"/>
      <c r="H26" s="106"/>
      <c r="I26" s="106"/>
      <c r="J26" s="791"/>
      <c r="K26" s="792"/>
      <c r="L26" s="106"/>
      <c r="M26" s="106"/>
      <c r="N26" s="106"/>
      <c r="O26" s="155">
        <v>106544000</v>
      </c>
      <c r="P26" s="155" t="s">
        <v>276</v>
      </c>
      <c r="Q26" s="779">
        <f>Q28/1.8</f>
        <v>0.11798570933333334</v>
      </c>
      <c r="R26" s="780"/>
      <c r="S26" s="156" t="s">
        <v>67</v>
      </c>
      <c r="T26" s="151">
        <f>Q26/Q28</f>
        <v>0.55555555555555558</v>
      </c>
    </row>
    <row r="27" spans="1:20" ht="13.5" thickBot="1" x14ac:dyDescent="0.25">
      <c r="A27" s="144"/>
      <c r="B27" s="106"/>
      <c r="C27" s="106"/>
      <c r="D27" s="106"/>
      <c r="E27" s="106"/>
      <c r="F27" s="106"/>
      <c r="G27" s="106"/>
      <c r="H27" s="106"/>
      <c r="I27" s="106"/>
      <c r="J27" s="793"/>
      <c r="K27" s="794"/>
      <c r="L27" s="106"/>
      <c r="M27" s="106"/>
      <c r="N27" s="106"/>
      <c r="O27" s="152">
        <v>109537000</v>
      </c>
      <c r="P27" s="155" t="s">
        <v>275</v>
      </c>
      <c r="Q27" s="779">
        <f>Q28-Q26</f>
        <v>9.438856746666667E-2</v>
      </c>
      <c r="R27" s="780"/>
      <c r="S27" s="157" t="s">
        <v>67</v>
      </c>
      <c r="T27" s="151">
        <f>Q27/Q28</f>
        <v>0.44444444444444442</v>
      </c>
    </row>
    <row r="28" spans="1:20" ht="13.5" thickBot="1" x14ac:dyDescent="0.25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8"/>
      <c r="L28" s="106"/>
      <c r="M28" s="106"/>
      <c r="N28" s="106"/>
      <c r="O28" s="153"/>
      <c r="P28" s="153"/>
      <c r="Q28" s="781">
        <f>J21</f>
        <v>0.21237427680000001</v>
      </c>
      <c r="R28" s="782"/>
      <c r="S28" s="158" t="s">
        <v>67</v>
      </c>
      <c r="T28" s="154">
        <f>Q28/Q28</f>
        <v>1</v>
      </c>
    </row>
    <row r="29" spans="1:20" x14ac:dyDescent="0.2">
      <c r="L29" s="106"/>
      <c r="M29" s="106"/>
      <c r="N29" s="106"/>
      <c r="O29" s="106"/>
      <c r="P29" s="106"/>
      <c r="Q29" s="106"/>
      <c r="R29" s="106"/>
      <c r="S29" s="106"/>
      <c r="T29" s="106"/>
    </row>
    <row r="65502" spans="17:18" x14ac:dyDescent="0.2">
      <c r="Q65502" s="778"/>
      <c r="R65502" s="778"/>
    </row>
  </sheetData>
  <sheetProtection selectLockedCells="1"/>
  <mergeCells count="25">
    <mergeCell ref="A1:K1"/>
    <mergeCell ref="D11:G13"/>
    <mergeCell ref="F20:G20"/>
    <mergeCell ref="F21:G22"/>
    <mergeCell ref="J21:K27"/>
    <mergeCell ref="A23:C23"/>
    <mergeCell ref="F23:G23"/>
    <mergeCell ref="F24:G25"/>
    <mergeCell ref="J19:K20"/>
    <mergeCell ref="J2:K3"/>
    <mergeCell ref="D4:G10"/>
    <mergeCell ref="H4:H10"/>
    <mergeCell ref="J4:K10"/>
    <mergeCell ref="A7:C7"/>
    <mergeCell ref="Q65502:R65502"/>
    <mergeCell ref="Q21:R21"/>
    <mergeCell ref="Q22:R22"/>
    <mergeCell ref="O18:T18"/>
    <mergeCell ref="Q19:S19"/>
    <mergeCell ref="Q20:R20"/>
    <mergeCell ref="O24:T24"/>
    <mergeCell ref="Q25:S25"/>
    <mergeCell ref="Q26:R26"/>
    <mergeCell ref="Q27:R27"/>
    <mergeCell ref="Q28:R28"/>
  </mergeCells>
  <dataValidations disablePrompts="1" count="1">
    <dataValidation type="list" allowBlank="1" showErrorMessage="1" errorTitle="PO MEU!!!" sqref="F65520:G65520" xr:uid="{00000000-0002-0000-1000-000000000000}">
      <formula1>#REF!</formula1>
    </dataValidation>
  </dataValidation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8"/>
  <dimension ref="A1:K25"/>
  <sheetViews>
    <sheetView showGridLines="0" zoomScale="130" zoomScaleNormal="130" workbookViewId="0">
      <selection activeCell="C17" sqref="C17:D18"/>
    </sheetView>
  </sheetViews>
  <sheetFormatPr defaultColWidth="9.140625" defaultRowHeight="12.75" x14ac:dyDescent="0.2"/>
  <cols>
    <col min="1" max="1" width="25.28515625" style="105" customWidth="1"/>
    <col min="2" max="2" width="29.28515625" style="105" customWidth="1"/>
    <col min="3" max="3" width="9" style="105" customWidth="1"/>
    <col min="4" max="4" width="15.28515625" style="105" customWidth="1"/>
    <col min="5" max="5" width="20" style="105" customWidth="1"/>
    <col min="6" max="16384" width="9.140625" style="105"/>
  </cols>
  <sheetData>
    <row r="1" spans="1:11" ht="15" thickBot="1" x14ac:dyDescent="0.25">
      <c r="A1" s="816" t="s">
        <v>76</v>
      </c>
      <c r="B1" s="816"/>
      <c r="C1" s="816"/>
      <c r="D1" s="816"/>
      <c r="E1" s="816"/>
      <c r="F1" s="107"/>
      <c r="G1" s="107"/>
      <c r="H1" s="107"/>
      <c r="I1" s="107"/>
      <c r="J1" s="107"/>
      <c r="K1" s="107"/>
    </row>
    <row r="2" spans="1:11" ht="13.5" customHeight="1" thickBot="1" x14ac:dyDescent="0.25">
      <c r="A2" s="159"/>
      <c r="B2" s="160"/>
      <c r="C2" s="160"/>
      <c r="D2" s="160"/>
      <c r="E2" s="161"/>
    </row>
    <row r="3" spans="1:11" ht="16.5" thickBot="1" x14ac:dyDescent="0.3">
      <c r="A3" s="162"/>
      <c r="B3" s="163" t="s">
        <v>77</v>
      </c>
      <c r="C3" s="163" t="s">
        <v>75</v>
      </c>
      <c r="D3" s="163" t="s">
        <v>78</v>
      </c>
      <c r="E3" s="164"/>
      <c r="F3" s="165"/>
      <c r="G3" s="165"/>
      <c r="H3" s="165"/>
      <c r="I3" s="165"/>
    </row>
    <row r="4" spans="1:11" ht="15.75" thickBot="1" x14ac:dyDescent="0.3">
      <c r="A4" s="166"/>
      <c r="B4" s="172">
        <f>B12*C8</f>
        <v>211482</v>
      </c>
      <c r="C4" s="173">
        <f>(B4/1000000)</f>
        <v>0.211482</v>
      </c>
      <c r="D4" s="173">
        <v>3.6</v>
      </c>
      <c r="E4" s="164"/>
      <c r="F4" s="165"/>
      <c r="G4" s="165"/>
      <c r="H4" s="165"/>
      <c r="I4" s="165"/>
    </row>
    <row r="5" spans="1:11" ht="15" x14ac:dyDescent="0.25">
      <c r="A5" s="166"/>
      <c r="B5" s="167"/>
      <c r="C5" s="168"/>
      <c r="D5" s="168"/>
      <c r="E5" s="164"/>
      <c r="F5" s="165"/>
      <c r="G5" s="165"/>
      <c r="H5" s="165"/>
      <c r="I5" s="165"/>
    </row>
    <row r="6" spans="1:11" ht="15" x14ac:dyDescent="0.25">
      <c r="A6" s="169"/>
      <c r="B6" s="165"/>
      <c r="C6" s="165"/>
      <c r="D6" s="165"/>
      <c r="E6" s="164"/>
      <c r="F6" s="165"/>
      <c r="G6" s="165"/>
      <c r="H6" s="165"/>
      <c r="I6" s="165"/>
    </row>
    <row r="7" spans="1:11" ht="9" customHeight="1" thickBot="1" x14ac:dyDescent="0.3">
      <c r="A7" s="169"/>
      <c r="B7" s="165"/>
      <c r="C7" s="165"/>
      <c r="D7" s="165"/>
      <c r="E7" s="164"/>
      <c r="F7" s="165"/>
      <c r="G7" s="165"/>
      <c r="H7" s="165"/>
      <c r="I7" s="165"/>
    </row>
    <row r="8" spans="1:11" ht="34.5" customHeight="1" thickBot="1" x14ac:dyDescent="0.3">
      <c r="A8" s="169"/>
      <c r="B8" s="817" t="s">
        <v>320</v>
      </c>
      <c r="C8" s="820">
        <v>186</v>
      </c>
      <c r="D8" s="165"/>
      <c r="E8" s="170" t="s">
        <v>79</v>
      </c>
      <c r="F8" s="165"/>
      <c r="G8" s="165"/>
      <c r="H8" s="165"/>
      <c r="I8" s="165"/>
    </row>
    <row r="9" spans="1:11" ht="15" x14ac:dyDescent="0.25">
      <c r="A9" s="169"/>
      <c r="B9" s="818"/>
      <c r="C9" s="820"/>
      <c r="D9" s="165"/>
      <c r="E9" s="821">
        <f>ROUND(D4*C4,2)*2</f>
        <v>1.52</v>
      </c>
      <c r="F9" s="165"/>
      <c r="G9" s="165"/>
      <c r="H9" s="165"/>
      <c r="I9" s="165"/>
    </row>
    <row r="10" spans="1:11" ht="15" x14ac:dyDescent="0.25">
      <c r="A10" s="171" t="s">
        <v>73</v>
      </c>
      <c r="B10" s="818"/>
      <c r="C10" s="820"/>
      <c r="D10" s="165"/>
      <c r="E10" s="822"/>
      <c r="F10" s="165"/>
      <c r="G10" s="165"/>
      <c r="H10" s="165"/>
      <c r="I10" s="165"/>
    </row>
    <row r="11" spans="1:11" ht="40.5" customHeight="1" thickBot="1" x14ac:dyDescent="0.3">
      <c r="A11" s="169"/>
      <c r="B11" s="819"/>
      <c r="C11" s="820"/>
      <c r="D11" s="165"/>
      <c r="E11" s="823"/>
      <c r="F11" s="165"/>
      <c r="G11" s="165"/>
      <c r="H11" s="165"/>
      <c r="I11" s="165"/>
    </row>
    <row r="12" spans="1:11" ht="15" x14ac:dyDescent="0.25">
      <c r="A12" s="169"/>
      <c r="B12" s="824">
        <v>1137</v>
      </c>
      <c r="C12" s="165"/>
      <c r="D12" s="165"/>
      <c r="E12" s="164"/>
      <c r="F12" s="165"/>
      <c r="G12" s="165"/>
      <c r="H12" s="165"/>
      <c r="I12" s="165"/>
    </row>
    <row r="13" spans="1:11" ht="15" x14ac:dyDescent="0.25">
      <c r="A13" s="169"/>
      <c r="B13" s="825"/>
      <c r="C13" s="165"/>
      <c r="D13" s="165"/>
      <c r="E13" s="164"/>
      <c r="F13" s="165"/>
      <c r="G13" s="165"/>
      <c r="H13" s="165"/>
      <c r="I13" s="165"/>
    </row>
    <row r="14" spans="1:11" ht="15" x14ac:dyDescent="0.25">
      <c r="A14" s="169"/>
      <c r="B14" s="165"/>
      <c r="C14" s="165"/>
      <c r="D14" s="165"/>
      <c r="E14" s="164"/>
      <c r="F14" s="165"/>
      <c r="G14" s="165"/>
      <c r="H14" s="165"/>
      <c r="I14" s="165"/>
    </row>
    <row r="15" spans="1:11" ht="15" customHeight="1" thickBot="1" x14ac:dyDescent="0.3">
      <c r="A15" s="409"/>
      <c r="B15" s="410"/>
      <c r="C15" s="410"/>
      <c r="D15" s="410"/>
      <c r="E15" s="411"/>
      <c r="F15"/>
      <c r="G15"/>
      <c r="H15"/>
      <c r="I15"/>
      <c r="J15" s="830"/>
      <c r="K15" s="830"/>
    </row>
    <row r="16" spans="1:11" ht="15" customHeight="1" x14ac:dyDescent="0.25">
      <c r="A16"/>
      <c r="B16"/>
      <c r="C16" s="831"/>
      <c r="D16" s="831"/>
      <c r="E16"/>
      <c r="H16"/>
      <c r="I16"/>
      <c r="J16" s="830"/>
      <c r="K16" s="830"/>
    </row>
    <row r="17" spans="1:11" ht="15" customHeight="1" x14ac:dyDescent="0.25">
      <c r="A17"/>
      <c r="C17" s="828"/>
      <c r="D17" s="828"/>
      <c r="E17" s="826"/>
      <c r="H17"/>
      <c r="I17"/>
      <c r="J17" s="832"/>
      <c r="K17" s="832"/>
    </row>
    <row r="18" spans="1:11" ht="15" customHeight="1" x14ac:dyDescent="0.25">
      <c r="A18"/>
      <c r="B18"/>
      <c r="C18" s="828"/>
      <c r="D18" s="828"/>
      <c r="E18" s="826"/>
      <c r="H18"/>
      <c r="I18"/>
      <c r="J18" s="832"/>
      <c r="K18" s="832"/>
    </row>
    <row r="19" spans="1:11" ht="15" customHeight="1" x14ac:dyDescent="0.25">
      <c r="A19" s="408"/>
      <c r="B19"/>
      <c r="E19" s="827"/>
      <c r="H19"/>
      <c r="I19"/>
      <c r="J19" s="832"/>
      <c r="K19" s="832"/>
    </row>
    <row r="20" spans="1:11" ht="15" customHeight="1" x14ac:dyDescent="0.25">
      <c r="A20"/>
      <c r="B20"/>
      <c r="C20" s="831"/>
      <c r="D20" s="831"/>
      <c r="E20" s="827"/>
      <c r="H20"/>
      <c r="I20"/>
      <c r="J20" s="832"/>
      <c r="K20" s="832"/>
    </row>
    <row r="21" spans="1:11" ht="15" customHeight="1" x14ac:dyDescent="0.25">
      <c r="A21"/>
      <c r="B21"/>
      <c r="C21" s="828"/>
      <c r="D21" s="828"/>
      <c r="E21" s="827"/>
      <c r="H21"/>
      <c r="I21"/>
      <c r="J21" s="832"/>
      <c r="K21" s="832"/>
    </row>
    <row r="22" spans="1:11" ht="15" customHeight="1" x14ac:dyDescent="0.25">
      <c r="A22"/>
      <c r="B22"/>
      <c r="C22" s="828"/>
      <c r="D22" s="828"/>
      <c r="E22" s="827"/>
      <c r="F22"/>
      <c r="H22"/>
      <c r="I22"/>
      <c r="J22" s="832"/>
      <c r="K22" s="832"/>
    </row>
    <row r="23" spans="1:11" ht="15.75" customHeight="1" x14ac:dyDescent="0.25">
      <c r="A23" s="829"/>
      <c r="B23" s="829"/>
      <c r="C23"/>
      <c r="D23"/>
      <c r="E23"/>
      <c r="F23"/>
      <c r="G23"/>
      <c r="H23"/>
      <c r="I23"/>
      <c r="J23" s="832"/>
      <c r="K23" s="832"/>
    </row>
    <row r="24" spans="1:11" ht="15" x14ac:dyDescent="0.25">
      <c r="A24"/>
      <c r="B24"/>
      <c r="C24"/>
      <c r="D24"/>
      <c r="E24"/>
      <c r="F24"/>
      <c r="G24"/>
      <c r="H24"/>
      <c r="I24"/>
      <c r="J24"/>
      <c r="K24"/>
    </row>
    <row r="25" spans="1:11" ht="15" x14ac:dyDescent="0.25">
      <c r="A25" s="165"/>
      <c r="B25" s="165"/>
      <c r="C25" s="165"/>
      <c r="D25" s="165"/>
      <c r="E25" s="165"/>
      <c r="F25" s="165"/>
      <c r="G25" s="165"/>
      <c r="H25" s="165"/>
      <c r="I25" s="165"/>
    </row>
  </sheetData>
  <sheetProtection sheet="1" objects="1" scenarios="1" selectLockedCells="1"/>
  <mergeCells count="14">
    <mergeCell ref="E17:E18"/>
    <mergeCell ref="E19:E22"/>
    <mergeCell ref="C17:D18"/>
    <mergeCell ref="A23:B23"/>
    <mergeCell ref="J15:K16"/>
    <mergeCell ref="C16:D16"/>
    <mergeCell ref="J17:K23"/>
    <mergeCell ref="C20:D20"/>
    <mergeCell ref="C21:D22"/>
    <mergeCell ref="A1:E1"/>
    <mergeCell ref="B8:B11"/>
    <mergeCell ref="C8:C11"/>
    <mergeCell ref="E9:E11"/>
    <mergeCell ref="B12:B1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22"/>
  <dimension ref="A1:AC47"/>
  <sheetViews>
    <sheetView zoomScale="90" zoomScaleNormal="90" workbookViewId="0">
      <selection activeCell="E5" sqref="E5"/>
    </sheetView>
  </sheetViews>
  <sheetFormatPr defaultColWidth="20.7109375" defaultRowHeight="18.75" customHeight="1" x14ac:dyDescent="0.2"/>
  <cols>
    <col min="1" max="1" width="21.7109375" style="105" customWidth="1"/>
    <col min="2" max="2" width="2.7109375" style="521" customWidth="1"/>
    <col min="3" max="3" width="21.7109375" style="105" customWidth="1"/>
    <col min="4" max="4" width="2.7109375" style="521" customWidth="1"/>
    <col min="5" max="5" width="21.7109375" style="105" customWidth="1"/>
    <col min="6" max="6" width="11.28515625" style="105" customWidth="1"/>
    <col min="7" max="8" width="18.42578125" style="105" customWidth="1"/>
    <col min="9" max="9" width="3.7109375" style="105" customWidth="1"/>
    <col min="10" max="253" width="9.140625" style="105" customWidth="1"/>
    <col min="254" max="254" width="3.7109375" style="105" customWidth="1"/>
    <col min="255" max="16384" width="20.7109375" style="105"/>
  </cols>
  <sheetData>
    <row r="1" spans="1:29" ht="18.75" customHeight="1" thickBot="1" x14ac:dyDescent="0.25">
      <c r="A1" s="700" t="s">
        <v>87</v>
      </c>
      <c r="B1" s="700"/>
      <c r="C1" s="700"/>
      <c r="D1" s="700"/>
      <c r="E1" s="700"/>
      <c r="F1" s="700"/>
      <c r="G1" s="700"/>
      <c r="H1" s="700"/>
      <c r="I1" s="70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</row>
    <row r="2" spans="1:29" ht="18.75" customHeight="1" thickBot="1" x14ac:dyDescent="0.25">
      <c r="A2" s="845" t="s">
        <v>80</v>
      </c>
      <c r="B2" s="846"/>
      <c r="C2" s="846"/>
      <c r="D2" s="846"/>
      <c r="E2" s="846"/>
      <c r="F2" s="846"/>
      <c r="G2" s="846"/>
      <c r="H2" s="847"/>
      <c r="I2" s="491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</row>
    <row r="3" spans="1:29" ht="39.75" customHeight="1" thickBot="1" x14ac:dyDescent="0.25">
      <c r="A3" s="178" t="s">
        <v>93</v>
      </c>
      <c r="B3" s="492"/>
      <c r="C3" s="179" t="s">
        <v>92</v>
      </c>
      <c r="D3" s="492"/>
      <c r="E3" s="179" t="s">
        <v>286</v>
      </c>
      <c r="F3" s="493"/>
      <c r="G3" s="181"/>
      <c r="H3" s="182"/>
      <c r="I3" s="491"/>
      <c r="J3" s="850" t="s">
        <v>91</v>
      </c>
      <c r="K3" s="850"/>
      <c r="L3" s="850"/>
      <c r="M3" s="85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</row>
    <row r="4" spans="1:29" ht="19.5" customHeight="1" thickBot="1" x14ac:dyDescent="0.25">
      <c r="A4" s="206">
        <v>1</v>
      </c>
      <c r="B4" s="494"/>
      <c r="C4" s="207">
        <v>1</v>
      </c>
      <c r="D4" s="494">
        <v>1</v>
      </c>
      <c r="E4" s="206">
        <v>2</v>
      </c>
      <c r="F4" s="495"/>
      <c r="G4" s="181"/>
      <c r="H4" s="182"/>
      <c r="I4" s="491"/>
      <c r="J4" s="848" t="s">
        <v>85</v>
      </c>
      <c r="K4" s="848"/>
      <c r="L4" s="848">
        <v>100634000</v>
      </c>
      <c r="M4" s="848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</row>
    <row r="5" spans="1:29" ht="18.75" customHeight="1" thickBot="1" x14ac:dyDescent="0.25">
      <c r="A5" s="496"/>
      <c r="B5" s="497"/>
      <c r="C5" s="186"/>
      <c r="D5" s="497"/>
      <c r="E5" s="186"/>
      <c r="F5" s="186"/>
      <c r="G5" s="181"/>
      <c r="H5" s="182"/>
      <c r="I5" s="491"/>
      <c r="J5" s="849" t="s">
        <v>86</v>
      </c>
      <c r="K5" s="849"/>
      <c r="L5" s="849">
        <v>100246000</v>
      </c>
      <c r="M5" s="849"/>
      <c r="N5" s="490"/>
      <c r="O5" s="490"/>
      <c r="P5" s="490"/>
      <c r="Q5" s="490"/>
      <c r="R5" s="490"/>
      <c r="S5" s="490"/>
      <c r="T5" s="490"/>
      <c r="U5" s="490"/>
      <c r="V5" s="490"/>
      <c r="W5" s="490"/>
      <c r="X5" s="490"/>
      <c r="Y5" s="490"/>
      <c r="Z5" s="490"/>
      <c r="AA5" s="490"/>
      <c r="AB5" s="490"/>
      <c r="AC5" s="490"/>
    </row>
    <row r="6" spans="1:29" ht="45.75" customHeight="1" thickBot="1" x14ac:dyDescent="0.25">
      <c r="A6" s="498" t="s">
        <v>287</v>
      </c>
      <c r="B6" s="497"/>
      <c r="C6" s="523" t="s">
        <v>288</v>
      </c>
      <c r="D6" s="499"/>
      <c r="E6" s="500" t="s">
        <v>289</v>
      </c>
      <c r="F6" s="189"/>
      <c r="G6" s="174" t="s">
        <v>290</v>
      </c>
      <c r="H6" s="175"/>
      <c r="I6" s="491"/>
      <c r="J6" s="490"/>
      <c r="K6" s="490"/>
      <c r="L6" s="490"/>
      <c r="M6" s="490"/>
      <c r="N6" s="490"/>
      <c r="O6" s="490"/>
      <c r="P6" s="490"/>
      <c r="Q6" s="490"/>
      <c r="R6" s="490"/>
      <c r="S6" s="490"/>
      <c r="T6" s="490"/>
      <c r="U6" s="490"/>
      <c r="V6" s="490"/>
      <c r="W6" s="490"/>
      <c r="X6" s="490"/>
      <c r="Y6" s="490"/>
      <c r="Z6" s="490"/>
      <c r="AA6" s="490"/>
      <c r="AB6" s="490"/>
      <c r="AC6" s="490"/>
    </row>
    <row r="7" spans="1:29" ht="18.75" customHeight="1" x14ac:dyDescent="0.2">
      <c r="A7" s="501" t="s">
        <v>88</v>
      </c>
      <c r="B7" s="492"/>
      <c r="C7" s="502" t="s">
        <v>88</v>
      </c>
      <c r="D7" s="492"/>
      <c r="E7" s="503" t="s">
        <v>88</v>
      </c>
      <c r="F7" s="189">
        <v>174</v>
      </c>
      <c r="G7" s="181" t="s">
        <v>291</v>
      </c>
      <c r="H7" s="182"/>
      <c r="I7" s="491"/>
      <c r="J7" s="490"/>
      <c r="K7" s="490"/>
      <c r="L7" s="490"/>
      <c r="M7" s="490"/>
      <c r="N7" s="490"/>
      <c r="O7" s="490"/>
      <c r="P7" s="490"/>
      <c r="Q7" s="490"/>
      <c r="R7" s="490"/>
      <c r="S7" s="490"/>
      <c r="T7" s="490"/>
      <c r="U7" s="490"/>
      <c r="V7" s="490"/>
      <c r="W7" s="490"/>
      <c r="X7" s="490"/>
      <c r="Y7" s="490"/>
      <c r="Z7" s="490"/>
      <c r="AA7" s="490"/>
      <c r="AB7" s="490"/>
      <c r="AC7" s="490"/>
    </row>
    <row r="8" spans="1:29" ht="18.75" customHeight="1" thickBot="1" x14ac:dyDescent="0.25">
      <c r="A8" s="504">
        <f>ROUNDUP((((174/F9)*60)/F8*(E4+C4)/A4/60),2)</f>
        <v>0.45</v>
      </c>
      <c r="B8" s="505"/>
      <c r="C8" s="506">
        <f>ROUNDUP(((((174/F10)*60)/F8*(E4+C4))/A4)/60,2)</f>
        <v>0.53</v>
      </c>
      <c r="D8" s="505"/>
      <c r="E8" s="535">
        <f>ROUNDUP(((((174/F9)*60)/F8*(E4+C4))/A4)/60,2)</f>
        <v>0.45</v>
      </c>
      <c r="F8" s="189">
        <v>580</v>
      </c>
      <c r="G8" s="181" t="s">
        <v>292</v>
      </c>
      <c r="H8" s="182"/>
      <c r="I8" s="491"/>
      <c r="J8" s="490"/>
      <c r="K8" s="490"/>
      <c r="L8" s="490"/>
      <c r="M8" s="490"/>
      <c r="N8" s="490"/>
      <c r="O8" s="490"/>
      <c r="P8" s="490"/>
      <c r="Q8" s="490"/>
      <c r="R8" s="490"/>
      <c r="S8" s="490"/>
      <c r="T8" s="490"/>
      <c r="U8" s="490"/>
      <c r="V8" s="490"/>
      <c r="W8" s="490"/>
      <c r="X8" s="490"/>
      <c r="Y8" s="490"/>
      <c r="Z8" s="490"/>
      <c r="AA8" s="490"/>
      <c r="AB8" s="490"/>
      <c r="AC8" s="490"/>
    </row>
    <row r="9" spans="1:29" ht="18.75" customHeight="1" x14ac:dyDescent="0.2">
      <c r="A9" s="533" t="s">
        <v>89</v>
      </c>
      <c r="B9" s="492"/>
      <c r="C9" s="534" t="s">
        <v>89</v>
      </c>
      <c r="D9" s="492"/>
      <c r="E9" s="536" t="s">
        <v>89</v>
      </c>
      <c r="F9" s="510">
        <v>2</v>
      </c>
      <c r="G9" s="510" t="s">
        <v>293</v>
      </c>
      <c r="H9" s="192"/>
      <c r="I9" s="177"/>
      <c r="J9" s="490"/>
      <c r="K9" s="490"/>
      <c r="L9" s="490"/>
      <c r="M9" s="490"/>
      <c r="N9" s="490"/>
      <c r="O9" s="490"/>
      <c r="P9" s="490"/>
      <c r="Q9" s="490"/>
      <c r="R9" s="490"/>
      <c r="S9" s="490"/>
      <c r="T9" s="490"/>
      <c r="U9" s="490"/>
      <c r="V9" s="490"/>
      <c r="W9" s="490"/>
      <c r="X9" s="490"/>
      <c r="Y9" s="490"/>
      <c r="Z9" s="490"/>
      <c r="AA9" s="490"/>
      <c r="AB9" s="490"/>
      <c r="AC9" s="490"/>
    </row>
    <row r="10" spans="1:29" ht="18.75" customHeight="1" thickBot="1" x14ac:dyDescent="0.25">
      <c r="A10" s="504">
        <f>ROUND(A8*A12,3)</f>
        <v>0.45</v>
      </c>
      <c r="B10" s="505"/>
      <c r="C10" s="506">
        <f>C8*C12</f>
        <v>0.53</v>
      </c>
      <c r="D10" s="505"/>
      <c r="E10" s="535">
        <f>ROUND(A8*A12,3)</f>
        <v>0.45</v>
      </c>
      <c r="F10" s="510">
        <v>1.7</v>
      </c>
      <c r="G10" s="510" t="s">
        <v>294</v>
      </c>
      <c r="H10" s="192"/>
      <c r="I10" s="491"/>
      <c r="J10" s="490"/>
      <c r="K10" s="490"/>
      <c r="L10" s="490"/>
      <c r="M10" s="490"/>
      <c r="N10" s="490"/>
      <c r="O10" s="490"/>
      <c r="P10" s="490"/>
      <c r="Q10" s="490"/>
      <c r="R10" s="490"/>
      <c r="S10" s="490"/>
      <c r="T10" s="490"/>
      <c r="U10" s="490"/>
      <c r="V10" s="490"/>
      <c r="W10" s="490"/>
      <c r="X10" s="490"/>
      <c r="Y10" s="490"/>
      <c r="Z10" s="490"/>
      <c r="AA10" s="490"/>
      <c r="AB10" s="490"/>
      <c r="AC10" s="490"/>
    </row>
    <row r="11" spans="1:29" ht="18.75" customHeight="1" x14ac:dyDescent="0.2">
      <c r="A11" s="508" t="s">
        <v>90</v>
      </c>
      <c r="B11" s="492"/>
      <c r="C11" s="509" t="s">
        <v>90</v>
      </c>
      <c r="D11" s="492"/>
      <c r="E11" s="511" t="s">
        <v>90</v>
      </c>
      <c r="F11" s="510"/>
      <c r="G11" s="510" t="s">
        <v>295</v>
      </c>
      <c r="H11" s="196"/>
      <c r="I11" s="491"/>
      <c r="J11" s="490"/>
      <c r="K11" s="490"/>
      <c r="L11" s="490"/>
      <c r="M11" s="490"/>
      <c r="N11" s="490"/>
      <c r="O11" s="490"/>
      <c r="P11" s="490"/>
      <c r="Q11" s="490"/>
      <c r="R11" s="490"/>
      <c r="S11" s="490"/>
      <c r="T11" s="490"/>
      <c r="U11" s="490"/>
      <c r="V11" s="490"/>
      <c r="W11" s="490"/>
      <c r="X11" s="490"/>
      <c r="Y11" s="490"/>
      <c r="Z11" s="490"/>
      <c r="AA11" s="490"/>
      <c r="AB11" s="490"/>
      <c r="AC11" s="490"/>
    </row>
    <row r="12" spans="1:29" ht="18.75" customHeight="1" thickBot="1" x14ac:dyDescent="0.25">
      <c r="A12" s="522">
        <v>1</v>
      </c>
      <c r="B12" s="512"/>
      <c r="C12" s="513">
        <v>1</v>
      </c>
      <c r="D12" s="512"/>
      <c r="E12" s="507">
        <v>1</v>
      </c>
      <c r="F12" s="510"/>
      <c r="G12" s="510" t="s">
        <v>296</v>
      </c>
      <c r="H12" s="198"/>
      <c r="I12" s="491"/>
      <c r="J12" s="490"/>
      <c r="K12" s="490"/>
      <c r="L12" s="490"/>
      <c r="M12" s="490"/>
      <c r="N12" s="490"/>
      <c r="O12" s="490"/>
      <c r="P12" s="490"/>
      <c r="Q12" s="490"/>
      <c r="R12" s="490"/>
      <c r="S12" s="490"/>
      <c r="T12" s="490"/>
      <c r="U12" s="490"/>
      <c r="V12" s="490"/>
      <c r="W12" s="490"/>
      <c r="X12" s="490"/>
      <c r="Y12" s="490"/>
      <c r="Z12" s="490"/>
      <c r="AA12" s="490"/>
      <c r="AB12" s="490"/>
      <c r="AC12" s="490"/>
    </row>
    <row r="13" spans="1:29" ht="18.75" customHeight="1" thickBot="1" x14ac:dyDescent="0.25">
      <c r="A13" s="199"/>
      <c r="B13" s="514"/>
      <c r="C13" s="200"/>
      <c r="D13" s="514"/>
      <c r="E13" s="200"/>
      <c r="F13" s="200"/>
      <c r="G13" s="515" t="s">
        <v>297</v>
      </c>
      <c r="H13" s="201"/>
      <c r="I13" s="491"/>
      <c r="J13" s="490"/>
      <c r="K13" s="490"/>
      <c r="L13" s="490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0"/>
      <c r="AA13" s="490"/>
      <c r="AB13" s="490"/>
      <c r="AC13" s="490"/>
    </row>
    <row r="14" spans="1:29" ht="18.75" customHeight="1" x14ac:dyDescent="0.2">
      <c r="A14" s="516"/>
      <c r="B14" s="517"/>
      <c r="C14" s="516"/>
      <c r="D14" s="517"/>
      <c r="E14" s="516"/>
      <c r="F14" s="516"/>
      <c r="G14" s="490"/>
      <c r="H14" s="516"/>
      <c r="I14" s="516"/>
      <c r="J14" s="490"/>
      <c r="K14" s="490"/>
      <c r="L14" s="490"/>
      <c r="M14" s="490"/>
      <c r="N14" s="490"/>
      <c r="O14" s="490"/>
      <c r="P14" s="490"/>
      <c r="Q14" s="490"/>
      <c r="R14" s="490"/>
      <c r="S14" s="490"/>
      <c r="T14" s="490"/>
      <c r="U14" s="490"/>
      <c r="V14" s="490"/>
      <c r="W14" s="490"/>
      <c r="X14" s="490"/>
      <c r="Y14" s="490"/>
      <c r="Z14" s="490"/>
      <c r="AA14" s="490"/>
      <c r="AB14" s="490"/>
      <c r="AC14" s="490"/>
    </row>
    <row r="15" spans="1:29" ht="18.75" customHeight="1" x14ac:dyDescent="0.2">
      <c r="A15" s="855" t="s">
        <v>298</v>
      </c>
      <c r="B15" s="856"/>
      <c r="C15" s="856"/>
      <c r="D15" s="856"/>
      <c r="E15" s="856"/>
      <c r="F15" s="856"/>
      <c r="G15" s="516"/>
      <c r="H15" s="516"/>
      <c r="I15" s="516"/>
      <c r="J15" s="490"/>
      <c r="K15" s="490"/>
      <c r="L15" s="490"/>
      <c r="M15" s="490"/>
      <c r="N15" s="490"/>
      <c r="O15" s="490"/>
      <c r="P15" s="490"/>
      <c r="Q15" s="490"/>
      <c r="R15" s="490"/>
      <c r="S15" s="490"/>
      <c r="T15" s="490"/>
      <c r="U15" s="490"/>
      <c r="V15" s="490"/>
      <c r="W15" s="490"/>
      <c r="X15" s="490"/>
      <c r="Y15" s="490"/>
      <c r="Z15" s="490"/>
      <c r="AA15" s="490"/>
      <c r="AB15" s="490"/>
      <c r="AC15" s="490"/>
    </row>
    <row r="16" spans="1:29" ht="18.75" customHeight="1" x14ac:dyDescent="0.2">
      <c r="A16" s="851" t="s">
        <v>83</v>
      </c>
      <c r="B16" s="852"/>
      <c r="C16" s="852"/>
      <c r="D16" s="852"/>
      <c r="E16" s="852"/>
      <c r="F16" s="519"/>
      <c r="G16" s="516"/>
      <c r="H16" s="516"/>
      <c r="I16" s="516"/>
      <c r="J16" s="490"/>
      <c r="K16" s="490"/>
      <c r="L16" s="490"/>
      <c r="M16" s="490"/>
      <c r="N16" s="490"/>
      <c r="O16" s="490"/>
      <c r="P16" s="490"/>
      <c r="Q16" s="490"/>
      <c r="R16" s="490"/>
      <c r="S16" s="490"/>
      <c r="T16" s="490"/>
      <c r="U16" s="490"/>
      <c r="V16" s="490"/>
      <c r="W16" s="490"/>
      <c r="X16" s="490"/>
      <c r="Y16" s="490"/>
      <c r="Z16" s="490"/>
      <c r="AA16" s="490"/>
      <c r="AB16" s="490"/>
      <c r="AC16" s="490"/>
    </row>
    <row r="17" spans="1:29" ht="18.75" customHeight="1" x14ac:dyDescent="0.2">
      <c r="A17" s="853" t="s">
        <v>84</v>
      </c>
      <c r="B17" s="854"/>
      <c r="C17" s="854"/>
      <c r="D17" s="854"/>
      <c r="E17" s="854"/>
      <c r="F17" s="520"/>
      <c r="G17" s="516"/>
      <c r="H17" s="516"/>
      <c r="I17" s="516"/>
      <c r="J17" s="490"/>
      <c r="K17" s="490"/>
      <c r="L17" s="490"/>
      <c r="M17" s="490"/>
      <c r="N17" s="490"/>
      <c r="O17" s="490"/>
      <c r="P17" s="490"/>
      <c r="Q17" s="490"/>
      <c r="R17" s="490"/>
      <c r="S17" s="490"/>
      <c r="T17" s="490"/>
      <c r="U17" s="490"/>
      <c r="V17" s="490"/>
      <c r="W17" s="490"/>
      <c r="X17" s="490"/>
      <c r="Y17" s="490"/>
      <c r="Z17" s="490"/>
      <c r="AA17" s="490"/>
      <c r="AB17" s="490"/>
      <c r="AC17" s="490"/>
    </row>
    <row r="18" spans="1:29" ht="18.75" customHeight="1" x14ac:dyDescent="0.2">
      <c r="A18" s="853" t="s">
        <v>299</v>
      </c>
      <c r="B18" s="854"/>
      <c r="C18" s="854"/>
      <c r="D18" s="854"/>
      <c r="E18" s="854"/>
      <c r="F18" s="520"/>
      <c r="G18" s="490"/>
      <c r="H18" s="490"/>
      <c r="I18" s="490"/>
      <c r="J18" s="490"/>
      <c r="K18" s="490"/>
      <c r="L18" s="490"/>
      <c r="M18" s="490"/>
      <c r="N18" s="490"/>
      <c r="O18" s="490"/>
      <c r="P18" s="490"/>
      <c r="Q18" s="490"/>
      <c r="R18" s="490"/>
      <c r="S18" s="490"/>
      <c r="T18" s="490"/>
      <c r="U18" s="490"/>
      <c r="V18" s="490"/>
      <c r="W18" s="490"/>
      <c r="X18" s="490"/>
      <c r="Y18" s="490"/>
      <c r="Z18" s="490"/>
      <c r="AA18" s="490"/>
      <c r="AB18" s="490"/>
      <c r="AC18" s="490"/>
    </row>
    <row r="19" spans="1:29" ht="18.75" customHeight="1" x14ac:dyDescent="0.2">
      <c r="A19" s="490"/>
      <c r="B19" s="490"/>
      <c r="C19" s="490"/>
      <c r="D19" s="490"/>
      <c r="E19" s="490"/>
      <c r="F19" s="490"/>
      <c r="G19" s="490"/>
      <c r="H19" s="490"/>
      <c r="I19" s="490"/>
      <c r="J19" s="490"/>
      <c r="K19" s="490"/>
      <c r="L19" s="490"/>
      <c r="M19" s="490"/>
      <c r="N19" s="490"/>
      <c r="O19" s="490"/>
      <c r="P19" s="490"/>
      <c r="Q19" s="490"/>
      <c r="R19" s="490"/>
      <c r="S19" s="490"/>
      <c r="T19" s="490"/>
      <c r="U19" s="490"/>
      <c r="V19" s="490"/>
      <c r="W19" s="490"/>
      <c r="X19" s="490"/>
      <c r="Y19" s="490"/>
      <c r="Z19" s="490"/>
      <c r="AA19" s="490"/>
      <c r="AB19" s="490"/>
      <c r="AC19" s="490"/>
    </row>
    <row r="20" spans="1:29" ht="18.75" customHeight="1" x14ac:dyDescent="0.2">
      <c r="A20" s="490"/>
      <c r="B20" s="490"/>
      <c r="C20" s="490"/>
      <c r="D20" s="490"/>
      <c r="E20" s="490"/>
      <c r="F20" s="490"/>
      <c r="G20" s="490"/>
      <c r="H20" s="490"/>
      <c r="I20" s="490"/>
      <c r="J20" s="490"/>
      <c r="K20" s="490"/>
      <c r="L20" s="490"/>
      <c r="M20" s="490"/>
      <c r="N20" s="490"/>
      <c r="O20" s="490"/>
      <c r="P20" s="490"/>
      <c r="Q20" s="490"/>
      <c r="R20" s="490"/>
      <c r="S20" s="490"/>
      <c r="T20" s="490"/>
      <c r="U20" s="490"/>
      <c r="V20" s="490"/>
      <c r="W20" s="490"/>
      <c r="X20" s="490"/>
      <c r="Y20" s="490"/>
      <c r="Z20" s="490"/>
      <c r="AA20" s="490"/>
      <c r="AB20" s="490"/>
      <c r="AC20" s="490"/>
    </row>
    <row r="21" spans="1:29" ht="18.75" customHeight="1" x14ac:dyDescent="0.2">
      <c r="A21" s="490"/>
      <c r="B21" s="490"/>
      <c r="C21" s="490"/>
      <c r="D21" s="490"/>
      <c r="E21" s="490"/>
      <c r="F21" s="490"/>
      <c r="G21" s="490"/>
      <c r="H21" s="490"/>
      <c r="I21" s="490"/>
      <c r="J21" s="490"/>
      <c r="K21" s="490"/>
      <c r="L21" s="490"/>
      <c r="M21" s="490"/>
      <c r="N21" s="490"/>
      <c r="O21" s="490"/>
      <c r="P21" s="490"/>
      <c r="Q21" s="490"/>
      <c r="R21" s="490"/>
      <c r="S21" s="490"/>
      <c r="T21" s="490"/>
      <c r="U21" s="490"/>
      <c r="V21" s="490"/>
      <c r="W21" s="490"/>
      <c r="X21" s="490"/>
      <c r="Y21" s="490"/>
      <c r="Z21" s="490"/>
      <c r="AA21" s="490"/>
      <c r="AB21" s="490"/>
      <c r="AC21" s="490"/>
    </row>
    <row r="22" spans="1:29" ht="18.75" customHeight="1" x14ac:dyDescent="0.2">
      <c r="A22" s="490"/>
      <c r="B22" s="490"/>
      <c r="C22" s="490"/>
      <c r="D22" s="490"/>
      <c r="E22" s="490"/>
      <c r="F22" s="490"/>
      <c r="G22" s="490"/>
      <c r="H22" s="490"/>
      <c r="I22" s="490"/>
      <c r="J22" s="490"/>
      <c r="K22" s="490"/>
      <c r="L22" s="490"/>
      <c r="M22" s="490"/>
      <c r="N22" s="490"/>
      <c r="O22" s="490"/>
      <c r="P22" s="490"/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490"/>
    </row>
    <row r="23" spans="1:29" ht="18.75" customHeight="1" x14ac:dyDescent="0.2">
      <c r="A23" s="490"/>
      <c r="B23" s="518"/>
      <c r="C23" s="490"/>
      <c r="D23" s="518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0"/>
      <c r="Q23" s="490"/>
      <c r="R23" s="490"/>
      <c r="S23" s="490"/>
      <c r="T23" s="490"/>
      <c r="U23" s="490"/>
      <c r="V23" s="490"/>
      <c r="W23" s="490"/>
      <c r="X23" s="490"/>
      <c r="Y23" s="490"/>
      <c r="Z23" s="490"/>
      <c r="AA23" s="490"/>
      <c r="AB23" s="490"/>
      <c r="AC23" s="490"/>
    </row>
    <row r="24" spans="1:29" ht="18.75" customHeight="1" x14ac:dyDescent="0.2">
      <c r="A24" s="490"/>
      <c r="B24" s="518"/>
      <c r="C24" s="490"/>
      <c r="D24" s="518"/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90"/>
      <c r="P24" s="490"/>
      <c r="Q24" s="490"/>
      <c r="R24" s="490"/>
      <c r="S24" s="490"/>
      <c r="T24" s="490"/>
      <c r="U24" s="490"/>
      <c r="V24" s="490"/>
      <c r="W24" s="490"/>
      <c r="X24" s="490"/>
      <c r="Y24" s="490"/>
      <c r="Z24" s="490"/>
      <c r="AA24" s="490"/>
      <c r="AB24" s="490"/>
      <c r="AC24" s="490"/>
    </row>
    <row r="27" spans="1:29" ht="18.75" customHeight="1" thickBot="1" x14ac:dyDescent="0.25"/>
    <row r="28" spans="1:29" ht="18.75" customHeight="1" x14ac:dyDescent="0.2">
      <c r="J28" s="839" t="s">
        <v>307</v>
      </c>
      <c r="K28" s="840"/>
      <c r="L28" s="840"/>
      <c r="M28" s="840"/>
      <c r="N28" s="841"/>
    </row>
    <row r="29" spans="1:29" ht="18.75" customHeight="1" x14ac:dyDescent="0.2">
      <c r="J29" s="842"/>
      <c r="K29" s="843"/>
      <c r="L29" s="843"/>
      <c r="M29" s="843"/>
      <c r="N29" s="844"/>
    </row>
    <row r="30" spans="1:29" ht="18.75" customHeight="1" thickBot="1" x14ac:dyDescent="0.25">
      <c r="J30" s="162"/>
      <c r="N30" s="532"/>
    </row>
    <row r="31" spans="1:29" ht="18.75" customHeight="1" thickBot="1" x14ac:dyDescent="0.25">
      <c r="J31" s="836" t="s">
        <v>93</v>
      </c>
      <c r="K31" s="837"/>
      <c r="L31" s="837"/>
      <c r="M31" s="838"/>
      <c r="N31" s="206">
        <v>2</v>
      </c>
    </row>
    <row r="32" spans="1:29" ht="18.75" customHeight="1" thickBot="1" x14ac:dyDescent="0.25">
      <c r="J32" s="162"/>
      <c r="N32" s="532"/>
    </row>
    <row r="33" spans="8:14" ht="18.75" customHeight="1" thickBot="1" x14ac:dyDescent="0.25">
      <c r="J33" s="836" t="s">
        <v>92</v>
      </c>
      <c r="K33" s="837"/>
      <c r="L33" s="837"/>
      <c r="M33" s="838"/>
      <c r="N33" s="206">
        <v>1</v>
      </c>
    </row>
    <row r="34" spans="8:14" ht="18.75" customHeight="1" thickBot="1" x14ac:dyDescent="0.25">
      <c r="J34" s="162"/>
      <c r="N34" s="532"/>
    </row>
    <row r="35" spans="8:14" ht="18.75" customHeight="1" thickBot="1" x14ac:dyDescent="0.25">
      <c r="J35" s="833" t="s">
        <v>286</v>
      </c>
      <c r="K35" s="834"/>
      <c r="L35" s="834"/>
      <c r="M35" s="835"/>
      <c r="N35" s="206">
        <v>2</v>
      </c>
    </row>
    <row r="46" spans="8:14" ht="18.75" customHeight="1" x14ac:dyDescent="0.2">
      <c r="H46" s="531"/>
      <c r="J46" s="531"/>
    </row>
    <row r="47" spans="8:14" ht="18.75" customHeight="1" x14ac:dyDescent="0.2">
      <c r="H47" s="497"/>
      <c r="J47" s="497"/>
    </row>
  </sheetData>
  <sheetProtection selectLockedCells="1"/>
  <mergeCells count="15">
    <mergeCell ref="J35:M35"/>
    <mergeCell ref="J31:M31"/>
    <mergeCell ref="J33:M33"/>
    <mergeCell ref="J28:N29"/>
    <mergeCell ref="A1:I1"/>
    <mergeCell ref="A2:H2"/>
    <mergeCell ref="J4:K4"/>
    <mergeCell ref="J5:K5"/>
    <mergeCell ref="J3:M3"/>
    <mergeCell ref="A16:E16"/>
    <mergeCell ref="A17:E17"/>
    <mergeCell ref="A18:E18"/>
    <mergeCell ref="A15:F15"/>
    <mergeCell ref="L4:M4"/>
    <mergeCell ref="L5:M5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19"/>
  <dimension ref="A1:K17"/>
  <sheetViews>
    <sheetView showGridLines="0" showRowColHeaders="0" workbookViewId="0">
      <selection sqref="A1:K1"/>
    </sheetView>
  </sheetViews>
  <sheetFormatPr defaultColWidth="3.7109375" defaultRowHeight="12.75" x14ac:dyDescent="0.2"/>
  <cols>
    <col min="1" max="1" width="21.42578125" style="105" customWidth="1"/>
    <col min="2" max="2" width="20.7109375" style="105" customWidth="1"/>
    <col min="3" max="3" width="24.7109375" style="105" customWidth="1"/>
    <col min="4" max="4" width="3.85546875" style="105" customWidth="1"/>
    <col min="5" max="6" width="3.7109375" style="105" customWidth="1"/>
    <col min="7" max="7" width="22.42578125" style="105" customWidth="1"/>
    <col min="8" max="8" width="20.7109375" style="105" customWidth="1"/>
    <col min="9" max="9" width="24.85546875" style="105" customWidth="1"/>
    <col min="10" max="10" width="5.42578125" style="105" customWidth="1"/>
    <col min="11" max="11" width="3.7109375" style="105" customWidth="1"/>
    <col min="12" max="255" width="9.140625" style="105" customWidth="1"/>
    <col min="256" max="16384" width="3.7109375" style="105"/>
  </cols>
  <sheetData>
    <row r="1" spans="1:11" ht="15.75" customHeight="1" thickBot="1" x14ac:dyDescent="0.25">
      <c r="A1" s="700" t="s">
        <v>87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</row>
    <row r="2" spans="1:11" ht="24" thickBot="1" x14ac:dyDescent="0.25">
      <c r="A2" s="845" t="s">
        <v>80</v>
      </c>
      <c r="B2" s="846"/>
      <c r="C2" s="846"/>
      <c r="D2" s="846"/>
      <c r="E2" s="847"/>
      <c r="F2" s="177"/>
      <c r="G2" s="858" t="s">
        <v>81</v>
      </c>
      <c r="H2" s="859"/>
      <c r="I2" s="859"/>
      <c r="J2" s="859"/>
      <c r="K2" s="860"/>
    </row>
    <row r="3" spans="1:11" ht="26.25" thickBot="1" x14ac:dyDescent="0.25">
      <c r="A3" s="178" t="s">
        <v>93</v>
      </c>
      <c r="B3" s="179" t="s">
        <v>92</v>
      </c>
      <c r="C3" s="180"/>
      <c r="D3" s="181"/>
      <c r="E3" s="182"/>
      <c r="F3" s="177"/>
      <c r="G3" s="178" t="s">
        <v>93</v>
      </c>
      <c r="H3" s="179" t="s">
        <v>92</v>
      </c>
      <c r="I3" s="183"/>
      <c r="J3" s="184"/>
      <c r="K3" s="185"/>
    </row>
    <row r="4" spans="1:11" ht="15" thickBot="1" x14ac:dyDescent="0.25">
      <c r="A4" s="206">
        <v>84</v>
      </c>
      <c r="B4" s="207">
        <v>4</v>
      </c>
      <c r="C4" s="186"/>
      <c r="D4" s="181"/>
      <c r="E4" s="182"/>
      <c r="F4" s="177"/>
      <c r="G4" s="206">
        <v>22</v>
      </c>
      <c r="H4" s="207">
        <v>1</v>
      </c>
      <c r="I4" s="187"/>
      <c r="J4" s="184"/>
      <c r="K4" s="185"/>
    </row>
    <row r="5" spans="1:11" ht="15" thickBot="1" x14ac:dyDescent="0.25">
      <c r="A5" s="188"/>
      <c r="B5" s="189"/>
      <c r="C5" s="189"/>
      <c r="D5" s="174"/>
      <c r="E5" s="175"/>
      <c r="F5" s="177"/>
      <c r="G5" s="190"/>
      <c r="H5" s="191"/>
      <c r="I5" s="191"/>
      <c r="J5" s="176"/>
      <c r="K5" s="185"/>
    </row>
    <row r="6" spans="1:11" ht="30" customHeight="1" x14ac:dyDescent="0.2">
      <c r="A6" s="178" t="s">
        <v>88</v>
      </c>
      <c r="B6" s="189"/>
      <c r="C6" s="189"/>
      <c r="D6" s="181"/>
      <c r="E6" s="182"/>
      <c r="F6" s="177"/>
      <c r="G6" s="178" t="s">
        <v>88</v>
      </c>
      <c r="H6" s="191"/>
      <c r="I6" s="191"/>
      <c r="J6" s="184"/>
      <c r="K6" s="185"/>
    </row>
    <row r="7" spans="1:11" ht="30" customHeight="1" thickBot="1" x14ac:dyDescent="0.25">
      <c r="A7" s="211">
        <f>ROUND(94/(((A4*626)/B4)),3)</f>
        <v>7.0000000000000001E-3</v>
      </c>
      <c r="B7" s="189"/>
      <c r="C7" s="189"/>
      <c r="D7" s="181"/>
      <c r="E7" s="182"/>
      <c r="F7" s="177"/>
      <c r="G7" s="211">
        <f>ROUND(94/(((G4*626)/H4)),3)</f>
        <v>7.0000000000000001E-3</v>
      </c>
      <c r="H7" s="191"/>
      <c r="I7" s="191"/>
      <c r="J7" s="184"/>
      <c r="K7" s="185"/>
    </row>
    <row r="8" spans="1:11" ht="30" customHeight="1" x14ac:dyDescent="0.2">
      <c r="A8" s="195" t="s">
        <v>89</v>
      </c>
      <c r="B8" s="189"/>
      <c r="C8" s="861" t="s">
        <v>82</v>
      </c>
      <c r="D8" s="862"/>
      <c r="E8" s="192"/>
      <c r="F8" s="177"/>
      <c r="G8" s="195" t="s">
        <v>89</v>
      </c>
      <c r="H8" s="191"/>
      <c r="I8" s="861" t="s">
        <v>82</v>
      </c>
      <c r="J8" s="862"/>
      <c r="K8" s="185"/>
    </row>
    <row r="9" spans="1:11" ht="30" customHeight="1" thickBot="1" x14ac:dyDescent="0.25">
      <c r="A9" s="211">
        <f>ROUND(A7*A11,3)</f>
        <v>2.1000000000000001E-2</v>
      </c>
      <c r="B9" s="193"/>
      <c r="C9" s="855"/>
      <c r="D9" s="863"/>
      <c r="E9" s="192"/>
      <c r="F9" s="177"/>
      <c r="G9" s="211">
        <f>ROUND(G7*G11,3)</f>
        <v>2.1000000000000001E-2</v>
      </c>
      <c r="H9" s="194"/>
      <c r="I9" s="855"/>
      <c r="J9" s="863"/>
      <c r="K9" s="185"/>
    </row>
    <row r="10" spans="1:11" ht="30" customHeight="1" x14ac:dyDescent="0.2">
      <c r="A10" s="195" t="s">
        <v>90</v>
      </c>
      <c r="B10" s="189"/>
      <c r="C10" s="212" t="s">
        <v>83</v>
      </c>
      <c r="D10" s="213">
        <f>A4</f>
        <v>84</v>
      </c>
      <c r="E10" s="196"/>
      <c r="F10" s="177"/>
      <c r="G10" s="195" t="s">
        <v>90</v>
      </c>
      <c r="H10" s="191"/>
      <c r="I10" s="212" t="s">
        <v>83</v>
      </c>
      <c r="J10" s="213">
        <f>G4</f>
        <v>22</v>
      </c>
      <c r="K10" s="185"/>
    </row>
    <row r="11" spans="1:11" ht="30" customHeight="1" thickBot="1" x14ac:dyDescent="0.25">
      <c r="A11" s="197">
        <v>3</v>
      </c>
      <c r="B11" s="181"/>
      <c r="C11" s="214" t="s">
        <v>84</v>
      </c>
      <c r="D11" s="215">
        <f>B4</f>
        <v>4</v>
      </c>
      <c r="E11" s="198"/>
      <c r="F11" s="177"/>
      <c r="G11" s="197">
        <v>3</v>
      </c>
      <c r="H11" s="184"/>
      <c r="I11" s="214" t="s">
        <v>84</v>
      </c>
      <c r="J11" s="215">
        <f>H4</f>
        <v>1</v>
      </c>
      <c r="K11" s="185"/>
    </row>
    <row r="12" spans="1:11" ht="15" thickBot="1" x14ac:dyDescent="0.25">
      <c r="A12" s="199"/>
      <c r="B12" s="200"/>
      <c r="C12" s="200"/>
      <c r="D12" s="200"/>
      <c r="E12" s="201"/>
      <c r="F12" s="177"/>
      <c r="G12" s="202"/>
      <c r="H12" s="203"/>
      <c r="I12" s="203"/>
      <c r="J12" s="203"/>
      <c r="K12" s="204"/>
    </row>
    <row r="13" spans="1:11" x14ac:dyDescent="0.2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1:11" x14ac:dyDescent="0.2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1:11" ht="20.100000000000001" customHeight="1" x14ac:dyDescent="0.2">
      <c r="A15" s="857" t="s">
        <v>91</v>
      </c>
      <c r="B15" s="857"/>
      <c r="C15" s="96"/>
      <c r="D15" s="96"/>
      <c r="E15" s="96"/>
      <c r="F15" s="96"/>
      <c r="G15" s="96"/>
      <c r="H15" s="96"/>
      <c r="I15" s="96"/>
      <c r="J15" s="96"/>
      <c r="K15" s="96"/>
    </row>
    <row r="16" spans="1:11" ht="20.100000000000001" customHeight="1" x14ac:dyDescent="0.2">
      <c r="A16" s="205" t="s">
        <v>85</v>
      </c>
      <c r="B16" s="205">
        <v>100634000</v>
      </c>
      <c r="C16" s="96"/>
      <c r="D16" s="96"/>
      <c r="E16" s="96"/>
      <c r="F16" s="96"/>
      <c r="G16" s="96"/>
      <c r="H16" s="96"/>
      <c r="I16" s="96"/>
      <c r="J16" s="96"/>
      <c r="K16" s="96"/>
    </row>
    <row r="17" spans="1:11" ht="20.100000000000001" customHeight="1" x14ac:dyDescent="0.2">
      <c r="A17" s="216" t="s">
        <v>86</v>
      </c>
      <c r="B17" s="216">
        <v>100246000</v>
      </c>
      <c r="C17" s="96"/>
      <c r="D17" s="96"/>
      <c r="E17" s="96"/>
      <c r="F17" s="96"/>
      <c r="G17" s="96"/>
      <c r="H17" s="96"/>
      <c r="I17" s="96"/>
      <c r="J17" s="96"/>
      <c r="K17" s="96"/>
    </row>
  </sheetData>
  <sheetProtection selectLockedCells="1"/>
  <mergeCells count="6">
    <mergeCell ref="A15:B15"/>
    <mergeCell ref="A1:K1"/>
    <mergeCell ref="A2:E2"/>
    <mergeCell ref="G2:K2"/>
    <mergeCell ref="C8:D9"/>
    <mergeCell ref="I8:J9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21"/>
  <dimension ref="A1:K7"/>
  <sheetViews>
    <sheetView showGridLines="0" showRowColHeaders="0" workbookViewId="0">
      <selection activeCell="A3" sqref="A3:D3"/>
    </sheetView>
  </sheetViews>
  <sheetFormatPr defaultColWidth="9.140625" defaultRowHeight="12.75" x14ac:dyDescent="0.2"/>
  <cols>
    <col min="1" max="1" width="10" style="105" bestFit="1" customWidth="1"/>
    <col min="2" max="2" width="9.140625" style="105"/>
    <col min="3" max="3" width="22.5703125" style="105" customWidth="1"/>
    <col min="4" max="4" width="19.42578125" style="105" customWidth="1"/>
    <col min="5" max="16384" width="9.140625" style="105"/>
  </cols>
  <sheetData>
    <row r="1" spans="1:11" ht="18.75" customHeight="1" thickBot="1" x14ac:dyDescent="0.25">
      <c r="A1" s="864" t="s">
        <v>113</v>
      </c>
      <c r="B1" s="864"/>
      <c r="C1" s="864"/>
      <c r="D1" s="864"/>
      <c r="E1" s="864"/>
      <c r="F1" s="864"/>
      <c r="G1" s="864"/>
      <c r="H1" s="107"/>
      <c r="I1" s="107"/>
      <c r="J1" s="107"/>
      <c r="K1" s="107"/>
    </row>
    <row r="2" spans="1:11" ht="18.75" x14ac:dyDescent="0.3">
      <c r="A2" s="869" t="s">
        <v>77</v>
      </c>
      <c r="B2" s="870"/>
      <c r="C2" s="870"/>
      <c r="D2" s="871"/>
    </row>
    <row r="3" spans="1:11" ht="39" customHeight="1" thickBot="1" x14ac:dyDescent="0.25">
      <c r="A3" s="866">
        <v>0.16</v>
      </c>
      <c r="B3" s="867"/>
      <c r="C3" s="867"/>
      <c r="D3" s="868"/>
    </row>
    <row r="4" spans="1:11" x14ac:dyDescent="0.2">
      <c r="A4" s="106"/>
      <c r="B4" s="106"/>
      <c r="C4" s="106"/>
      <c r="D4" s="106"/>
    </row>
    <row r="5" spans="1:11" ht="18" customHeight="1" x14ac:dyDescent="0.2">
      <c r="A5" s="264">
        <v>103176000</v>
      </c>
      <c r="B5" s="865" t="s">
        <v>110</v>
      </c>
      <c r="C5" s="865"/>
      <c r="D5" s="218">
        <f>A3/7</f>
        <v>2.2857142857142857E-2</v>
      </c>
    </row>
    <row r="6" spans="1:11" ht="18" customHeight="1" x14ac:dyDescent="0.2">
      <c r="A6" s="264">
        <v>102248000</v>
      </c>
      <c r="B6" s="865" t="s">
        <v>111</v>
      </c>
      <c r="C6" s="865"/>
      <c r="D6" s="218">
        <f>D5/2</f>
        <v>1.1428571428571429E-2</v>
      </c>
    </row>
    <row r="7" spans="1:11" ht="18" customHeight="1" x14ac:dyDescent="0.2">
      <c r="A7" s="264">
        <v>101372000</v>
      </c>
      <c r="B7" s="865" t="s">
        <v>112</v>
      </c>
      <c r="C7" s="865"/>
      <c r="D7" s="218">
        <f>D6</f>
        <v>1.1428571428571429E-2</v>
      </c>
    </row>
  </sheetData>
  <sheetProtection selectLockedCells="1"/>
  <mergeCells count="6">
    <mergeCell ref="A1:G1"/>
    <mergeCell ref="B5:C5"/>
    <mergeCell ref="B6:C6"/>
    <mergeCell ref="B7:C7"/>
    <mergeCell ref="A3:D3"/>
    <mergeCell ref="A2:D2"/>
  </mergeCells>
  <pageMargins left="0.78740157499999996" right="0.78740157499999996" top="0.984251969" bottom="0.984251969" header="0.49212598499999999" footer="0.49212598499999999"/>
  <pageSetup paperSize="9" orientation="landscape" horizontalDpi="1200" verticalDpi="12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3"/>
  <dimension ref="A1:Z66"/>
  <sheetViews>
    <sheetView workbookViewId="0">
      <selection activeCell="E7" sqref="E7"/>
    </sheetView>
  </sheetViews>
  <sheetFormatPr defaultColWidth="0" defaultRowHeight="17.25" x14ac:dyDescent="0.25"/>
  <cols>
    <col min="1" max="1" width="1.28515625" style="221" customWidth="1"/>
    <col min="2" max="2" width="18.85546875" style="221" bestFit="1" customWidth="1"/>
    <col min="3" max="3" width="50" style="221" bestFit="1" customWidth="1"/>
    <col min="4" max="4" width="21.28515625" style="221" bestFit="1" customWidth="1"/>
    <col min="5" max="5" width="34" style="221" bestFit="1" customWidth="1"/>
    <col min="6" max="6" width="21.5703125" style="221" bestFit="1" customWidth="1"/>
    <col min="7" max="10" width="3.28515625" style="221" customWidth="1"/>
    <col min="11" max="11" width="3.28515625" style="220" hidden="1" customWidth="1"/>
    <col min="12" max="16384" width="3.28515625" style="220" hidden="1"/>
  </cols>
  <sheetData>
    <row r="1" spans="1:26" x14ac:dyDescent="0.25">
      <c r="A1" s="219"/>
      <c r="B1" s="219"/>
      <c r="C1" s="219"/>
      <c r="D1" s="219"/>
      <c r="E1" s="219"/>
      <c r="F1" s="219"/>
      <c r="G1" s="220"/>
      <c r="H1" s="220"/>
      <c r="I1" s="220"/>
      <c r="J1" s="220"/>
    </row>
    <row r="2" spans="1:26" x14ac:dyDescent="0.25">
      <c r="A2" s="219"/>
      <c r="B2" s="219"/>
      <c r="C2" s="219"/>
      <c r="D2" s="219"/>
      <c r="E2" s="219"/>
      <c r="F2" s="219"/>
      <c r="G2" s="220"/>
      <c r="H2" s="220"/>
      <c r="I2" s="220"/>
      <c r="J2" s="220"/>
    </row>
    <row r="3" spans="1:26" x14ac:dyDescent="0.25">
      <c r="A3" s="219"/>
      <c r="B3" s="872" t="s">
        <v>129</v>
      </c>
      <c r="C3" s="872"/>
      <c r="D3" s="872"/>
      <c r="E3" s="872"/>
      <c r="F3" s="872"/>
      <c r="G3" s="872"/>
      <c r="H3" s="872"/>
      <c r="I3" s="220"/>
      <c r="J3" s="220"/>
    </row>
    <row r="4" spans="1:26" x14ac:dyDescent="0.25">
      <c r="A4" s="219"/>
      <c r="B4" s="219"/>
      <c r="C4" s="219"/>
      <c r="D4" s="219"/>
      <c r="E4" s="219"/>
      <c r="F4" s="219"/>
      <c r="G4" s="220"/>
      <c r="H4" s="220"/>
      <c r="I4" s="220"/>
      <c r="J4" s="220"/>
    </row>
    <row r="5" spans="1:26" ht="18" thickBot="1" x14ac:dyDescent="0.3">
      <c r="A5" s="219"/>
      <c r="B5" s="219"/>
      <c r="C5" s="219"/>
      <c r="D5" s="219"/>
      <c r="E5" s="219"/>
      <c r="F5" s="219"/>
      <c r="G5" s="220"/>
      <c r="H5" s="220"/>
      <c r="I5" s="220"/>
      <c r="J5" s="220"/>
    </row>
    <row r="6" spans="1:26" ht="18" thickBot="1" x14ac:dyDescent="0.3">
      <c r="B6" s="274" t="s">
        <v>10</v>
      </c>
      <c r="C6" s="275" t="s">
        <v>46</v>
      </c>
      <c r="D6" s="275" t="s">
        <v>12</v>
      </c>
      <c r="E6" s="275" t="s">
        <v>114</v>
      </c>
      <c r="F6" s="276" t="s">
        <v>96</v>
      </c>
      <c r="G6" s="220"/>
      <c r="H6" s="220"/>
      <c r="I6" s="220"/>
      <c r="J6" s="220"/>
    </row>
    <row r="7" spans="1:26" ht="18" thickBot="1" x14ac:dyDescent="0.3">
      <c r="B7" s="250">
        <v>4</v>
      </c>
      <c r="C7" s="251">
        <v>50</v>
      </c>
      <c r="D7" s="251">
        <v>515</v>
      </c>
      <c r="E7" s="243" t="s">
        <v>335</v>
      </c>
      <c r="F7" s="244">
        <f>IF(E7="ABS",((B7*C7*D7*C64)/1000000),(IF(E7="PEAD",((B7*C7*D7*C65)/1000000),(IF(E7="PP",((B7*C7*D7*C66)/1000000),1)))*1))</f>
        <v>0.10918</v>
      </c>
      <c r="G7" s="222"/>
      <c r="H7" s="220"/>
      <c r="I7" s="220"/>
      <c r="J7" s="220"/>
    </row>
    <row r="8" spans="1:26" ht="18" thickBot="1" x14ac:dyDescent="0.3">
      <c r="B8" s="245"/>
      <c r="C8" s="245"/>
      <c r="D8" s="245"/>
      <c r="E8" s="245"/>
      <c r="F8" s="245"/>
      <c r="G8" s="224"/>
      <c r="H8" s="224"/>
      <c r="I8" s="224"/>
      <c r="J8" s="220"/>
      <c r="M8" s="224"/>
      <c r="N8" s="224"/>
      <c r="O8" s="224"/>
    </row>
    <row r="9" spans="1:26" ht="18" thickBot="1" x14ac:dyDescent="0.3">
      <c r="B9" s="277" t="s">
        <v>125</v>
      </c>
      <c r="C9" s="275" t="s">
        <v>126</v>
      </c>
      <c r="D9" s="278" t="s">
        <v>23</v>
      </c>
      <c r="E9" s="245"/>
      <c r="F9" s="245"/>
      <c r="G9" s="224"/>
      <c r="H9" s="224"/>
      <c r="I9" s="224"/>
      <c r="J9" s="220"/>
      <c r="M9" s="224"/>
      <c r="N9" s="224"/>
      <c r="O9" s="224"/>
      <c r="P9" s="222"/>
    </row>
    <row r="10" spans="1:26" x14ac:dyDescent="0.25">
      <c r="B10" s="486"/>
      <c r="C10" s="487"/>
      <c r="D10" s="488"/>
      <c r="E10" s="245"/>
      <c r="F10" s="245"/>
      <c r="G10" s="224"/>
      <c r="H10" s="220"/>
      <c r="I10" s="225"/>
      <c r="J10" s="220"/>
      <c r="M10" s="224"/>
      <c r="N10" s="224"/>
      <c r="O10" s="225"/>
      <c r="P10" s="224"/>
      <c r="Q10" s="224"/>
    </row>
    <row r="11" spans="1:26" x14ac:dyDescent="0.25">
      <c r="B11" s="273"/>
      <c r="C11" s="246"/>
      <c r="D11" s="247"/>
      <c r="E11" s="248"/>
      <c r="F11" s="248"/>
      <c r="G11" s="224"/>
      <c r="H11" s="220"/>
      <c r="I11" s="225"/>
      <c r="J11" s="220"/>
      <c r="M11" s="226"/>
      <c r="N11" s="226"/>
      <c r="O11" s="224"/>
      <c r="P11" s="224"/>
      <c r="Q11" s="227"/>
    </row>
    <row r="12" spans="1:26" x14ac:dyDescent="0.25">
      <c r="B12" s="273"/>
      <c r="C12" s="246"/>
      <c r="D12" s="247"/>
      <c r="E12" s="245"/>
      <c r="F12" s="245"/>
      <c r="G12" s="220"/>
      <c r="H12" s="220"/>
      <c r="I12" s="225"/>
      <c r="J12" s="220"/>
      <c r="M12" s="228"/>
      <c r="N12" s="228"/>
      <c r="O12" s="224"/>
      <c r="P12" s="224"/>
      <c r="Q12" s="227"/>
      <c r="Z12" s="229">
        <v>0.6</v>
      </c>
    </row>
    <row r="13" spans="1:26" x14ac:dyDescent="0.25">
      <c r="B13" s="273"/>
      <c r="C13" s="246"/>
      <c r="D13" s="247"/>
      <c r="E13" s="245"/>
      <c r="F13" s="245"/>
      <c r="G13" s="224"/>
      <c r="H13" s="220"/>
      <c r="I13" s="225"/>
      <c r="J13" s="220"/>
      <c r="M13" s="230"/>
      <c r="N13" s="230"/>
      <c r="O13" s="230"/>
      <c r="P13" s="230"/>
      <c r="Q13" s="230"/>
      <c r="Z13" s="229">
        <v>0.23200000000000001</v>
      </c>
    </row>
    <row r="14" spans="1:26" x14ac:dyDescent="0.25">
      <c r="B14" s="273"/>
      <c r="C14" s="246"/>
      <c r="D14" s="247"/>
      <c r="E14" s="245"/>
      <c r="F14" s="245"/>
      <c r="G14" s="224"/>
      <c r="H14" s="220"/>
      <c r="I14" s="225"/>
      <c r="J14" s="220"/>
      <c r="M14" s="230"/>
      <c r="N14" s="230"/>
      <c r="O14" s="230"/>
      <c r="P14" s="230"/>
      <c r="Q14" s="230"/>
      <c r="Z14" s="229"/>
    </row>
    <row r="15" spans="1:26" ht="18" thickBot="1" x14ac:dyDescent="0.3">
      <c r="B15" s="245"/>
      <c r="C15" s="249"/>
      <c r="D15" s="248"/>
      <c r="E15" s="248"/>
      <c r="F15" s="248"/>
      <c r="G15" s="224"/>
      <c r="H15" s="220"/>
      <c r="I15" s="225"/>
      <c r="J15" s="220"/>
      <c r="O15" s="231"/>
      <c r="P15" s="232"/>
      <c r="Q15" s="232"/>
      <c r="Z15" s="229">
        <v>0.16</v>
      </c>
    </row>
    <row r="16" spans="1:26" ht="19.5" thickBot="1" x14ac:dyDescent="0.3">
      <c r="B16" s="274" t="s">
        <v>127</v>
      </c>
      <c r="C16" s="252"/>
      <c r="D16" s="245"/>
      <c r="E16" s="248"/>
      <c r="F16" s="248"/>
      <c r="G16" s="220"/>
      <c r="H16" s="220"/>
      <c r="I16" s="220"/>
      <c r="J16" s="220"/>
      <c r="O16" s="231"/>
      <c r="P16" s="232"/>
      <c r="Q16" s="232"/>
      <c r="Z16" s="229">
        <v>8.0000000000000002E-3</v>
      </c>
    </row>
    <row r="17" spans="1:26" x14ac:dyDescent="0.25">
      <c r="E17" s="223"/>
      <c r="F17" s="223"/>
      <c r="G17" s="220"/>
      <c r="H17" s="220"/>
      <c r="I17" s="220"/>
      <c r="J17" s="220"/>
      <c r="O17" s="231"/>
      <c r="P17" s="232"/>
      <c r="Q17" s="232"/>
      <c r="Z17" s="233">
        <f>SUM(Z12:Z16)</f>
        <v>1</v>
      </c>
    </row>
    <row r="18" spans="1:26" s="224" customFormat="1" ht="15.75" customHeight="1" x14ac:dyDescent="0.25">
      <c r="A18" s="223"/>
      <c r="B18" s="221"/>
      <c r="C18" s="221"/>
      <c r="D18" s="221"/>
      <c r="E18" s="221"/>
      <c r="F18" s="221"/>
      <c r="O18" s="234"/>
      <c r="P18" s="235"/>
      <c r="Q18" s="235"/>
    </row>
    <row r="19" spans="1:26" x14ac:dyDescent="0.25">
      <c r="O19" s="231"/>
      <c r="P19" s="232"/>
      <c r="Q19" s="232"/>
    </row>
    <row r="20" spans="1:26" x14ac:dyDescent="0.25">
      <c r="O20" s="231"/>
      <c r="P20" s="232"/>
      <c r="Q20" s="232"/>
    </row>
    <row r="21" spans="1:26" x14ac:dyDescent="0.25">
      <c r="D21" s="236"/>
      <c r="O21" s="231"/>
      <c r="P21" s="232"/>
      <c r="Q21" s="232"/>
    </row>
    <row r="22" spans="1:26" x14ac:dyDescent="0.25">
      <c r="D22" s="236"/>
      <c r="E22" s="236"/>
      <c r="F22" s="236"/>
      <c r="O22" s="231"/>
      <c r="P22" s="232"/>
      <c r="Q22" s="232"/>
    </row>
    <row r="23" spans="1:26" x14ac:dyDescent="0.25">
      <c r="E23" s="236"/>
      <c r="F23" s="236"/>
      <c r="G23" s="236"/>
      <c r="H23" s="236"/>
      <c r="I23" s="236"/>
    </row>
    <row r="24" spans="1:26" x14ac:dyDescent="0.25">
      <c r="B24" s="237"/>
      <c r="G24" s="236"/>
      <c r="H24" s="236"/>
      <c r="I24" s="236"/>
    </row>
    <row r="26" spans="1:26" x14ac:dyDescent="0.25">
      <c r="B26" s="238"/>
      <c r="I26" s="239"/>
    </row>
    <row r="27" spans="1:26" x14ac:dyDescent="0.25">
      <c r="I27" s="239"/>
    </row>
    <row r="31" spans="1:26" x14ac:dyDescent="0.25">
      <c r="D31" s="240"/>
    </row>
    <row r="32" spans="1:26" x14ac:dyDescent="0.25">
      <c r="E32" s="240"/>
      <c r="F32" s="241"/>
    </row>
    <row r="33" spans="2:20" x14ac:dyDescent="0.25">
      <c r="B33" s="240"/>
      <c r="C33" s="240"/>
      <c r="G33" s="241"/>
      <c r="H33" s="239"/>
      <c r="I33" s="239"/>
      <c r="L33" s="226"/>
      <c r="M33" s="226"/>
    </row>
    <row r="46" spans="2:20" x14ac:dyDescent="0.25">
      <c r="T46" s="242"/>
    </row>
    <row r="64" spans="2:3" x14ac:dyDescent="0.25">
      <c r="B64" s="221" t="s">
        <v>335</v>
      </c>
      <c r="C64" s="221">
        <v>1.06</v>
      </c>
    </row>
    <row r="65" spans="2:3" x14ac:dyDescent="0.25">
      <c r="B65" s="221" t="s">
        <v>336</v>
      </c>
      <c r="C65" s="221">
        <v>0.96</v>
      </c>
    </row>
    <row r="66" spans="2:3" x14ac:dyDescent="0.25">
      <c r="B66" s="221" t="s">
        <v>124</v>
      </c>
      <c r="C66" s="221">
        <v>0.95</v>
      </c>
    </row>
  </sheetData>
  <sheetProtection selectLockedCells="1"/>
  <mergeCells count="1">
    <mergeCell ref="B3:H3"/>
  </mergeCells>
  <conditionalFormatting sqref="F7">
    <cfRule type="cellIs" dxfId="3" priority="1" stopIfTrue="1" operator="equal">
      <formula>"material não cadastrado"</formula>
    </cfRule>
  </conditionalFormatting>
  <dataValidations count="1">
    <dataValidation type="list" errorStyle="warning" showInputMessage="1" showErrorMessage="1" errorTitle="VERIFIQUE O VALOR DIGITADO" promptTitle="valor digitado não confere" sqref="E7" xr:uid="{00000000-0002-0000-1500-000000000000}">
      <formula1>$B$64:$B$66</formula1>
    </dataValidation>
  </dataValidations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24"/>
  <dimension ref="A1:V20"/>
  <sheetViews>
    <sheetView showGridLines="0" showRowColHeaders="0" workbookViewId="0"/>
  </sheetViews>
  <sheetFormatPr defaultColWidth="0" defaultRowHeight="17.25" customHeight="1" zeroHeight="1" x14ac:dyDescent="0.25"/>
  <cols>
    <col min="1" max="9" width="3.28515625" style="221" customWidth="1"/>
    <col min="10" max="10" width="31.140625" style="221" bestFit="1" customWidth="1"/>
    <col min="11" max="11" width="14" style="221" bestFit="1" customWidth="1"/>
    <col min="12" max="22" width="3.28515625" style="221" customWidth="1"/>
    <col min="23" max="16384" width="3.28515625" style="221" hidden="1"/>
  </cols>
  <sheetData>
    <row r="1" spans="1:22" x14ac:dyDescent="0.25"/>
    <row r="2" spans="1:22" x14ac:dyDescent="0.25"/>
    <row r="3" spans="1:22" x14ac:dyDescent="0.25">
      <c r="A3" s="872" t="s">
        <v>130</v>
      </c>
      <c r="B3" s="872"/>
      <c r="C3" s="872"/>
      <c r="D3" s="872"/>
      <c r="E3" s="872"/>
      <c r="F3" s="872"/>
      <c r="G3" s="872"/>
      <c r="H3" s="872"/>
      <c r="I3" s="872"/>
      <c r="J3" s="872"/>
      <c r="K3" s="872"/>
      <c r="L3" s="872"/>
      <c r="M3" s="872"/>
      <c r="N3" s="872"/>
      <c r="O3" s="872"/>
      <c r="P3" s="872"/>
      <c r="Q3" s="872"/>
      <c r="R3" s="872"/>
      <c r="S3" s="872"/>
      <c r="T3" s="872"/>
      <c r="U3" s="872"/>
      <c r="V3" s="872"/>
    </row>
    <row r="4" spans="1:22" x14ac:dyDescent="0.25"/>
    <row r="5" spans="1:22" ht="18" thickBot="1" x14ac:dyDescent="0.3"/>
    <row r="6" spans="1:22" ht="18" x14ac:dyDescent="0.25">
      <c r="J6" s="873" t="s">
        <v>131</v>
      </c>
      <c r="K6" s="874"/>
    </row>
    <row r="7" spans="1:22" ht="18" x14ac:dyDescent="0.3">
      <c r="J7" s="253" t="s">
        <v>115</v>
      </c>
      <c r="K7" s="266">
        <v>1.6</v>
      </c>
    </row>
    <row r="8" spans="1:22" ht="18" x14ac:dyDescent="0.3">
      <c r="J8" s="254" t="s">
        <v>128</v>
      </c>
      <c r="K8" s="267">
        <v>1.6</v>
      </c>
    </row>
    <row r="9" spans="1:22" ht="18" x14ac:dyDescent="0.25">
      <c r="J9" s="255" t="s">
        <v>116</v>
      </c>
      <c r="K9" s="268">
        <v>1.36</v>
      </c>
    </row>
    <row r="10" spans="1:22" ht="18" x14ac:dyDescent="0.3">
      <c r="J10" s="254" t="s">
        <v>117</v>
      </c>
      <c r="K10" s="267">
        <v>1.36</v>
      </c>
    </row>
    <row r="11" spans="1:22" ht="18" x14ac:dyDescent="0.3">
      <c r="J11" s="256" t="s">
        <v>118</v>
      </c>
      <c r="K11" s="268">
        <v>1.575</v>
      </c>
    </row>
    <row r="12" spans="1:22" ht="18" x14ac:dyDescent="0.25">
      <c r="J12" s="257" t="s">
        <v>119</v>
      </c>
      <c r="K12" s="269">
        <v>1.1100000000000001</v>
      </c>
    </row>
    <row r="13" spans="1:22" ht="18" x14ac:dyDescent="0.3">
      <c r="J13" s="258" t="s">
        <v>120</v>
      </c>
      <c r="K13" s="270">
        <v>1.1100000000000001</v>
      </c>
    </row>
    <row r="14" spans="1:22" ht="18" x14ac:dyDescent="0.25">
      <c r="J14" s="259" t="s">
        <v>121</v>
      </c>
      <c r="K14" s="269">
        <v>1.1100000000000001</v>
      </c>
    </row>
    <row r="15" spans="1:22" ht="18" x14ac:dyDescent="0.3">
      <c r="J15" s="260" t="s">
        <v>122</v>
      </c>
      <c r="K15" s="271">
        <v>1.1100000000000001</v>
      </c>
    </row>
    <row r="16" spans="1:22" ht="18" x14ac:dyDescent="0.3">
      <c r="J16" s="260" t="s">
        <v>123</v>
      </c>
      <c r="K16" s="271">
        <v>1.1100000000000001</v>
      </c>
    </row>
    <row r="17" spans="10:11" ht="18.75" thickBot="1" x14ac:dyDescent="0.35">
      <c r="J17" s="261" t="s">
        <v>124</v>
      </c>
      <c r="K17" s="272">
        <v>1.1100000000000001</v>
      </c>
    </row>
    <row r="18" spans="10:11" x14ac:dyDescent="0.25"/>
    <row r="19" spans="10:11" x14ac:dyDescent="0.25"/>
    <row r="20" spans="10:11" x14ac:dyDescent="0.25"/>
  </sheetData>
  <sheetProtection password="921C" sheet="1" objects="1" scenarios="1" selectLockedCells="1"/>
  <mergeCells count="2">
    <mergeCell ref="J6:K6"/>
    <mergeCell ref="A3:V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28"/>
  <dimension ref="A1:V62"/>
  <sheetViews>
    <sheetView showGridLines="0" showRowColHeaders="0" workbookViewId="0">
      <selection activeCell="O16" sqref="O16"/>
    </sheetView>
  </sheetViews>
  <sheetFormatPr defaultColWidth="0" defaultRowHeight="15" x14ac:dyDescent="0.25"/>
  <cols>
    <col min="1" max="1" width="6.42578125" customWidth="1"/>
    <col min="2" max="2" width="7.7109375" customWidth="1"/>
    <col min="3" max="3" width="11" customWidth="1"/>
    <col min="4" max="4" width="10.7109375" customWidth="1"/>
    <col min="5" max="5" width="12.85546875" customWidth="1"/>
    <col min="6" max="6" width="10" customWidth="1"/>
    <col min="7" max="7" width="10.85546875" customWidth="1"/>
    <col min="8" max="8" width="11" customWidth="1"/>
    <col min="9" max="9" width="9.28515625" customWidth="1"/>
    <col min="10" max="10" width="17.140625" customWidth="1"/>
    <col min="11" max="11" width="5.7109375" customWidth="1"/>
    <col min="12" max="12" width="8.140625" customWidth="1"/>
    <col min="13" max="13" width="1.5703125" customWidth="1"/>
    <col min="14" max="14" width="8.140625" customWidth="1"/>
    <col min="15" max="15" width="17.7109375" customWidth="1"/>
    <col min="16" max="18" width="4.42578125" customWidth="1"/>
    <col min="19" max="19" width="5" customWidth="1"/>
    <col min="20" max="20" width="5.7109375" customWidth="1"/>
  </cols>
  <sheetData>
    <row r="1" spans="1:22" x14ac:dyDescent="0.25">
      <c r="A1" s="610" t="s">
        <v>139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</row>
    <row r="2" spans="1:22" ht="15.75" x14ac:dyDescent="0.25">
      <c r="A2" s="887" t="s">
        <v>94</v>
      </c>
      <c r="B2" s="887"/>
      <c r="C2" s="217" t="s">
        <v>10</v>
      </c>
      <c r="D2" s="217" t="s">
        <v>46</v>
      </c>
      <c r="E2" s="217" t="s">
        <v>12</v>
      </c>
      <c r="F2" s="888" t="s">
        <v>95</v>
      </c>
      <c r="G2" s="889"/>
      <c r="H2" s="611" t="s">
        <v>137</v>
      </c>
      <c r="I2" s="611"/>
      <c r="J2" s="612" t="s">
        <v>138</v>
      </c>
      <c r="K2" s="612"/>
    </row>
    <row r="3" spans="1:22" x14ac:dyDescent="0.25">
      <c r="A3" s="887"/>
      <c r="B3" s="887"/>
      <c r="C3" s="890">
        <v>3</v>
      </c>
      <c r="D3" s="891">
        <v>1200</v>
      </c>
      <c r="E3" s="891">
        <v>3000</v>
      </c>
      <c r="F3" s="888"/>
      <c r="G3" s="889"/>
      <c r="H3" s="617">
        <f>C3*D3*E3*7.85/1000000</f>
        <v>84.78</v>
      </c>
      <c r="I3" s="617"/>
      <c r="J3" s="618">
        <f>C3*D9*E9*7.85/1000000/F4</f>
        <v>6.4105454999999996</v>
      </c>
      <c r="K3" s="618"/>
    </row>
    <row r="4" spans="1:22" x14ac:dyDescent="0.25">
      <c r="A4" s="887"/>
      <c r="B4" s="887"/>
      <c r="C4" s="890"/>
      <c r="D4" s="891"/>
      <c r="E4" s="891"/>
      <c r="F4" s="892">
        <v>1</v>
      </c>
      <c r="G4" s="893"/>
      <c r="H4" s="617"/>
      <c r="I4" s="617"/>
      <c r="J4" s="618"/>
      <c r="K4" s="618"/>
    </row>
    <row r="5" spans="1:22" x14ac:dyDescent="0.25">
      <c r="A5" s="887"/>
      <c r="B5" s="887"/>
      <c r="C5" s="890"/>
      <c r="D5" s="891"/>
      <c r="E5" s="891"/>
      <c r="F5" s="892"/>
      <c r="G5" s="893"/>
      <c r="H5" s="617"/>
      <c r="I5" s="617"/>
      <c r="J5" s="618"/>
      <c r="K5" s="618"/>
      <c r="O5" s="877" t="s">
        <v>133</v>
      </c>
      <c r="P5" s="877"/>
      <c r="Q5" s="877"/>
      <c r="R5" s="877"/>
      <c r="S5" s="877"/>
      <c r="T5" s="877"/>
    </row>
    <row r="6" spans="1:22" ht="21" x14ac:dyDescent="0.35">
      <c r="A6" s="887"/>
      <c r="B6" s="887"/>
      <c r="C6" s="890"/>
      <c r="D6" s="891"/>
      <c r="E6" s="891"/>
      <c r="F6" s="892"/>
      <c r="G6" s="893"/>
      <c r="H6" s="617"/>
      <c r="I6" s="617"/>
      <c r="J6" s="618"/>
      <c r="K6" s="618"/>
      <c r="O6" s="310" t="s">
        <v>98</v>
      </c>
      <c r="P6" s="619">
        <f>IF(J8="É ESSE",B32,B28)</f>
        <v>365</v>
      </c>
      <c r="Q6" s="619"/>
      <c r="R6" s="311" t="s">
        <v>134</v>
      </c>
      <c r="S6" s="621">
        <f>IF(J8="É ESSE",D32,D28)</f>
        <v>3000</v>
      </c>
      <c r="T6" s="621"/>
    </row>
    <row r="7" spans="1:22" ht="21" x14ac:dyDescent="0.35">
      <c r="A7" s="882" t="s">
        <v>97</v>
      </c>
      <c r="B7" s="882"/>
      <c r="C7" s="882"/>
      <c r="D7" s="882"/>
      <c r="E7" s="882"/>
      <c r="F7" s="892"/>
      <c r="G7" s="892"/>
      <c r="H7" s="883" t="str">
        <f>IF(F4&lt;&gt;1,"VER QUANT.","")</f>
        <v/>
      </c>
      <c r="I7" s="883"/>
      <c r="J7" s="885"/>
      <c r="K7" s="885"/>
      <c r="O7" s="310" t="s">
        <v>109</v>
      </c>
      <c r="P7" s="619">
        <f>IF(J8="É ESSE",B33,B29)</f>
        <v>835</v>
      </c>
      <c r="Q7" s="619"/>
      <c r="R7" s="311" t="s">
        <v>134</v>
      </c>
      <c r="S7" s="621">
        <f>IF(J8="É ESSE",D33,D29)</f>
        <v>66</v>
      </c>
      <c r="T7" s="621"/>
    </row>
    <row r="8" spans="1:22" x14ac:dyDescent="0.25">
      <c r="A8" s="879" t="s">
        <v>98</v>
      </c>
      <c r="B8" s="879"/>
      <c r="C8" s="296" t="s">
        <v>10</v>
      </c>
      <c r="D8" s="297" t="s">
        <v>46</v>
      </c>
      <c r="E8" s="297" t="s">
        <v>12</v>
      </c>
      <c r="F8" s="892"/>
      <c r="G8" s="892"/>
      <c r="H8" s="884"/>
      <c r="I8" s="884"/>
      <c r="J8" s="594" t="str">
        <f>IF(F12&gt;F21,"É ESSE","")</f>
        <v/>
      </c>
      <c r="K8" s="594"/>
      <c r="L8" s="283"/>
    </row>
    <row r="9" spans="1:22" x14ac:dyDescent="0.25">
      <c r="A9" s="879"/>
      <c r="B9" s="879"/>
      <c r="C9" s="606">
        <f>C3</f>
        <v>3</v>
      </c>
      <c r="D9" s="886">
        <v>326</v>
      </c>
      <c r="E9" s="886">
        <v>835</v>
      </c>
      <c r="F9" s="892"/>
      <c r="G9" s="892"/>
      <c r="H9" s="884"/>
      <c r="I9" s="884"/>
      <c r="J9" s="594"/>
      <c r="K9" s="594"/>
      <c r="L9" s="283"/>
    </row>
    <row r="10" spans="1:22" x14ac:dyDescent="0.25">
      <c r="A10" s="879"/>
      <c r="B10" s="879"/>
      <c r="C10" s="606"/>
      <c r="D10" s="886"/>
      <c r="E10" s="886"/>
      <c r="F10" s="298" t="s">
        <v>99</v>
      </c>
      <c r="G10" s="881" t="s">
        <v>100</v>
      </c>
      <c r="H10" s="881"/>
      <c r="I10" s="881"/>
      <c r="J10" s="594"/>
      <c r="K10" s="594"/>
      <c r="L10" s="283"/>
    </row>
    <row r="11" spans="1:22" hidden="1" x14ac:dyDescent="0.25">
      <c r="A11" s="879"/>
      <c r="B11" s="879"/>
      <c r="C11" s="296"/>
      <c r="D11" s="299">
        <f>D3/D9</f>
        <v>3.6809815950920246</v>
      </c>
      <c r="E11" s="299">
        <f>E3/E9</f>
        <v>3.5928143712574849</v>
      </c>
      <c r="F11" s="296"/>
      <c r="G11" s="296"/>
      <c r="H11" s="296"/>
      <c r="I11" s="296"/>
      <c r="J11" s="594"/>
      <c r="K11" s="594"/>
      <c r="L11" s="283"/>
    </row>
    <row r="12" spans="1:22" x14ac:dyDescent="0.25">
      <c r="A12" s="879"/>
      <c r="B12" s="879"/>
      <c r="C12" s="300" t="s">
        <v>101</v>
      </c>
      <c r="D12" s="301">
        <f>ROUNDDOWN(D11,0)</f>
        <v>3</v>
      </c>
      <c r="E12" s="301">
        <f>ROUNDDOWN(E11,0)</f>
        <v>3</v>
      </c>
      <c r="F12" s="645">
        <f>E12*D12*F4</f>
        <v>9</v>
      </c>
      <c r="G12" s="296" t="s">
        <v>102</v>
      </c>
      <c r="H12" s="302">
        <f>H3/F12</f>
        <v>9.42</v>
      </c>
      <c r="I12" s="296" t="s">
        <v>103</v>
      </c>
      <c r="J12" s="594"/>
      <c r="K12" s="594"/>
      <c r="L12" s="283"/>
    </row>
    <row r="13" spans="1:22" x14ac:dyDescent="0.25">
      <c r="A13" s="879"/>
      <c r="B13" s="879"/>
      <c r="C13" s="303"/>
      <c r="D13" s="304" t="str">
        <f>IF(D11&lt;1,"FALSO","OK")</f>
        <v>OK</v>
      </c>
      <c r="E13" s="304" t="str">
        <f>IF(E11&lt;1,"FALSO","OK")</f>
        <v>OK</v>
      </c>
      <c r="F13" s="645"/>
      <c r="G13" s="296" t="s">
        <v>104</v>
      </c>
      <c r="H13" s="302">
        <f>E30</f>
        <v>3.0669599999999999</v>
      </c>
      <c r="I13" s="296" t="s">
        <v>103</v>
      </c>
      <c r="J13" s="594"/>
      <c r="K13" s="594"/>
      <c r="L13" s="283"/>
    </row>
    <row r="14" spans="1:22" ht="18.75" x14ac:dyDescent="0.25">
      <c r="A14" s="305">
        <f>D12</f>
        <v>3</v>
      </c>
      <c r="B14" s="876" t="s">
        <v>105</v>
      </c>
      <c r="C14" s="876"/>
      <c r="D14" s="876"/>
      <c r="E14" s="305">
        <f>E12</f>
        <v>3</v>
      </c>
      <c r="F14" s="876" t="s">
        <v>106</v>
      </c>
      <c r="G14" s="876"/>
      <c r="H14" s="876"/>
      <c r="I14" s="876"/>
      <c r="J14" s="594"/>
      <c r="K14" s="594"/>
      <c r="L14" s="283"/>
    </row>
    <row r="15" spans="1:22" x14ac:dyDescent="0.25">
      <c r="A15" s="580" t="s">
        <v>107</v>
      </c>
      <c r="B15" s="580"/>
      <c r="C15" s="580"/>
      <c r="D15" s="580"/>
      <c r="E15" s="306">
        <f>E14*360</f>
        <v>1080</v>
      </c>
      <c r="F15" s="581" t="s">
        <v>108</v>
      </c>
      <c r="G15" s="581"/>
      <c r="H15" s="581"/>
      <c r="I15" s="581"/>
      <c r="J15" s="594"/>
      <c r="K15" s="594"/>
      <c r="L15" s="283"/>
    </row>
    <row r="16" spans="1:22" ht="15.75" x14ac:dyDescent="0.25">
      <c r="A16" s="582" t="str">
        <f>IF(D13="OK","","REPROVADO")</f>
        <v/>
      </c>
      <c r="B16" s="582"/>
      <c r="C16" s="582"/>
      <c r="D16" s="582"/>
      <c r="E16" s="583" t="str">
        <f>IF(E13="OK","","REPROVADO")</f>
        <v/>
      </c>
      <c r="F16" s="583"/>
      <c r="G16" s="583"/>
      <c r="H16" s="583"/>
      <c r="I16" s="583"/>
      <c r="J16" s="594"/>
      <c r="K16" s="594"/>
      <c r="L16" s="283"/>
    </row>
    <row r="17" spans="1:12" ht="18.75" x14ac:dyDescent="0.25">
      <c r="A17" s="878"/>
      <c r="B17" s="878"/>
      <c r="C17" s="878"/>
      <c r="D17" s="878"/>
      <c r="E17" s="878"/>
      <c r="F17" s="878"/>
      <c r="G17" s="878"/>
      <c r="H17" s="878"/>
      <c r="I17" s="878"/>
      <c r="J17" s="878"/>
      <c r="K17" s="878"/>
      <c r="L17" s="283"/>
    </row>
    <row r="18" spans="1:12" x14ac:dyDescent="0.25">
      <c r="A18" s="879" t="s">
        <v>109</v>
      </c>
      <c r="B18" s="879"/>
      <c r="C18" s="296" t="s">
        <v>10</v>
      </c>
      <c r="D18" s="296" t="s">
        <v>46</v>
      </c>
      <c r="E18" s="296" t="s">
        <v>12</v>
      </c>
      <c r="F18" s="880"/>
      <c r="G18" s="880"/>
      <c r="H18" s="880"/>
      <c r="I18" s="880"/>
      <c r="J18" s="594" t="str">
        <f>IF(F21&gt;F12,"É ESSE","")</f>
        <v/>
      </c>
      <c r="K18" s="594"/>
      <c r="L18" s="283"/>
    </row>
    <row r="19" spans="1:12" ht="23.25" customHeight="1" x14ac:dyDescent="0.25">
      <c r="A19" s="879"/>
      <c r="B19" s="879"/>
      <c r="C19" s="298">
        <f>C3</f>
        <v>3</v>
      </c>
      <c r="D19" s="307">
        <f>E9</f>
        <v>835</v>
      </c>
      <c r="E19" s="307">
        <f>D9</f>
        <v>326</v>
      </c>
      <c r="F19" s="298" t="s">
        <v>99</v>
      </c>
      <c r="G19" s="881" t="s">
        <v>100</v>
      </c>
      <c r="H19" s="881"/>
      <c r="I19" s="881"/>
      <c r="J19" s="594"/>
      <c r="K19" s="594"/>
      <c r="L19" s="283"/>
    </row>
    <row r="20" spans="1:12" hidden="1" x14ac:dyDescent="0.25">
      <c r="A20" s="879"/>
      <c r="B20" s="879"/>
      <c r="C20" s="308" t="s">
        <v>101</v>
      </c>
      <c r="D20" s="299">
        <f>D3/D19</f>
        <v>1.437125748502994</v>
      </c>
      <c r="E20" s="299">
        <f>E3/E19</f>
        <v>9.2024539877300615</v>
      </c>
      <c r="F20" s="298"/>
      <c r="G20" s="296" t="e">
        <f>H3/F20</f>
        <v>#DIV/0!</v>
      </c>
      <c r="H20" s="296" t="s">
        <v>103</v>
      </c>
      <c r="I20" s="296"/>
      <c r="J20" s="594"/>
      <c r="K20" s="594"/>
      <c r="L20" s="283"/>
    </row>
    <row r="21" spans="1:12" ht="15.75" x14ac:dyDescent="0.25">
      <c r="A21" s="879"/>
      <c r="B21" s="879"/>
      <c r="C21" s="300" t="s">
        <v>101</v>
      </c>
      <c r="D21" s="301">
        <f>ROUNDDOWN(D20,0)</f>
        <v>1</v>
      </c>
      <c r="E21" s="301">
        <f>ROUNDDOWN(E20,0)</f>
        <v>9</v>
      </c>
      <c r="F21" s="645">
        <f>D21*E21*F4</f>
        <v>9</v>
      </c>
      <c r="G21" s="296" t="s">
        <v>102</v>
      </c>
      <c r="H21" s="309">
        <f>H3/F21</f>
        <v>9.42</v>
      </c>
      <c r="I21" s="296" t="s">
        <v>103</v>
      </c>
      <c r="J21" s="594"/>
      <c r="K21" s="594"/>
      <c r="L21" s="283"/>
    </row>
    <row r="22" spans="1:12" ht="15.75" x14ac:dyDescent="0.25">
      <c r="A22" s="879"/>
      <c r="B22" s="879"/>
      <c r="C22" s="303"/>
      <c r="D22" s="304" t="str">
        <f>IF(D20&lt;1,"FALSO","OK")</f>
        <v>OK</v>
      </c>
      <c r="E22" s="304" t="str">
        <f>IF(E20&lt;1,"FALSO","OK")</f>
        <v>OK</v>
      </c>
      <c r="F22" s="645"/>
      <c r="G22" s="296" t="s">
        <v>104</v>
      </c>
      <c r="H22" s="309">
        <f>E34</f>
        <v>3.0669599999999999</v>
      </c>
      <c r="I22" s="296" t="s">
        <v>103</v>
      </c>
      <c r="J22" s="594"/>
      <c r="K22" s="594"/>
      <c r="L22" s="283"/>
    </row>
    <row r="23" spans="1:12" ht="18.75" x14ac:dyDescent="0.25">
      <c r="A23" s="305">
        <f>D21</f>
        <v>1</v>
      </c>
      <c r="B23" s="876" t="s">
        <v>105</v>
      </c>
      <c r="C23" s="876"/>
      <c r="D23" s="876"/>
      <c r="E23" s="305">
        <f>E21</f>
        <v>9</v>
      </c>
      <c r="F23" s="876" t="s">
        <v>106</v>
      </c>
      <c r="G23" s="876"/>
      <c r="H23" s="876"/>
      <c r="I23" s="876"/>
      <c r="J23" s="594"/>
      <c r="K23" s="594"/>
      <c r="L23" s="283"/>
    </row>
    <row r="24" spans="1:12" x14ac:dyDescent="0.25">
      <c r="A24" s="580" t="s">
        <v>107</v>
      </c>
      <c r="B24" s="580"/>
      <c r="C24" s="580"/>
      <c r="D24" s="580"/>
      <c r="E24" s="306">
        <f>E21*360</f>
        <v>3240</v>
      </c>
      <c r="F24" s="581" t="s">
        <v>108</v>
      </c>
      <c r="G24" s="581"/>
      <c r="H24" s="581"/>
      <c r="I24" s="581"/>
      <c r="J24" s="594"/>
      <c r="K24" s="594"/>
      <c r="L24" s="283"/>
    </row>
    <row r="25" spans="1:12" ht="15.75" x14ac:dyDescent="0.25">
      <c r="A25" s="875" t="str">
        <f>IF(D22="OK","","REPROVADO")</f>
        <v/>
      </c>
      <c r="B25" s="875"/>
      <c r="C25" s="875"/>
      <c r="D25" s="875"/>
      <c r="E25" s="583" t="str">
        <f>IF(E22="OK","","REPROVADO")</f>
        <v/>
      </c>
      <c r="F25" s="583"/>
      <c r="G25" s="583"/>
      <c r="H25" s="583"/>
      <c r="I25" s="583"/>
      <c r="J25" s="594"/>
      <c r="K25" s="594"/>
      <c r="L25" s="283"/>
    </row>
    <row r="26" spans="1:12" x14ac:dyDescent="0.25">
      <c r="A26" s="585" t="s">
        <v>135</v>
      </c>
      <c r="B26" s="585"/>
      <c r="C26" s="585"/>
      <c r="D26" s="585"/>
      <c r="E26" s="585"/>
      <c r="F26" s="585"/>
      <c r="G26" s="585"/>
      <c r="H26" s="585"/>
      <c r="I26" s="284"/>
    </row>
    <row r="27" spans="1:12" x14ac:dyDescent="0.25">
      <c r="A27" s="563">
        <v>2</v>
      </c>
      <c r="B27" s="217"/>
      <c r="C27" s="285"/>
      <c r="D27" s="285"/>
      <c r="E27" s="285"/>
      <c r="F27" s="285"/>
      <c r="G27" s="285"/>
      <c r="H27" s="285"/>
      <c r="I27" s="217"/>
    </row>
    <row r="28" spans="1:12" x14ac:dyDescent="0.25">
      <c r="A28" s="563"/>
      <c r="B28" s="285">
        <f>D3-(D21*D19)</f>
        <v>365</v>
      </c>
      <c r="C28" s="285" t="s">
        <v>134</v>
      </c>
      <c r="D28" s="285">
        <f>E3</f>
        <v>3000</v>
      </c>
      <c r="E28" s="217">
        <f>C3*B28*D28*8/F21/1000000</f>
        <v>2.92</v>
      </c>
      <c r="F28" s="285"/>
      <c r="G28" s="285"/>
      <c r="H28" s="285"/>
      <c r="I28" s="217"/>
    </row>
    <row r="29" spans="1:12" x14ac:dyDescent="0.25">
      <c r="A29" s="563"/>
      <c r="B29" s="285">
        <f>D21*D19</f>
        <v>835</v>
      </c>
      <c r="C29" s="285" t="s">
        <v>134</v>
      </c>
      <c r="D29" s="285">
        <f>E3-(E21*E19)</f>
        <v>66</v>
      </c>
      <c r="E29" s="217">
        <f>C3*B29*D29*8/F21/1000000</f>
        <v>0.14696000000000001</v>
      </c>
      <c r="F29" s="285"/>
      <c r="G29" s="285"/>
      <c r="H29" s="285"/>
      <c r="I29" s="217"/>
    </row>
    <row r="30" spans="1:12" ht="18" x14ac:dyDescent="0.25">
      <c r="A30" s="563"/>
      <c r="B30" s="285"/>
      <c r="C30" s="285"/>
      <c r="D30" s="286" t="s">
        <v>136</v>
      </c>
      <c r="E30" s="287">
        <f>E33+E32</f>
        <v>3.0669599999999999</v>
      </c>
      <c r="F30" s="285"/>
      <c r="G30" s="285"/>
      <c r="H30" s="285"/>
      <c r="I30" s="217"/>
    </row>
    <row r="31" spans="1:12" ht="18" x14ac:dyDescent="0.25">
      <c r="A31" s="282"/>
      <c r="F31" s="288"/>
      <c r="G31" s="288"/>
      <c r="H31" s="288"/>
      <c r="I31" s="217"/>
    </row>
    <row r="32" spans="1:12" x14ac:dyDescent="0.25">
      <c r="A32" s="563">
        <v>1</v>
      </c>
      <c r="B32" s="285">
        <f>D3-(D9*D12)</f>
        <v>222</v>
      </c>
      <c r="C32" s="285" t="s">
        <v>134</v>
      </c>
      <c r="D32" s="285">
        <f>E3</f>
        <v>3000</v>
      </c>
      <c r="E32" s="217">
        <f>C3*B32*D32*8/F12/1000000</f>
        <v>1.776</v>
      </c>
      <c r="F32" s="285"/>
      <c r="G32" s="285"/>
      <c r="H32" s="285"/>
      <c r="I32" s="217"/>
    </row>
    <row r="33" spans="1:14" x14ac:dyDescent="0.25">
      <c r="A33" s="563"/>
      <c r="B33" s="285">
        <f>D12*D9</f>
        <v>978</v>
      </c>
      <c r="C33" s="285" t="s">
        <v>134</v>
      </c>
      <c r="D33" s="285">
        <f>E3-(E9*E12)</f>
        <v>495</v>
      </c>
      <c r="E33" s="217">
        <f>C3*B33*D33*8/F12/1000000</f>
        <v>1.2909600000000001</v>
      </c>
      <c r="F33" s="285"/>
      <c r="G33" s="285"/>
      <c r="H33" s="285"/>
      <c r="I33" s="217"/>
    </row>
    <row r="34" spans="1:14" ht="18" x14ac:dyDescent="0.25">
      <c r="A34" s="563"/>
      <c r="B34" s="285"/>
      <c r="C34" s="285"/>
      <c r="D34" s="286" t="s">
        <v>136</v>
      </c>
      <c r="E34" s="287">
        <f>E28+E29</f>
        <v>3.0669599999999999</v>
      </c>
      <c r="F34" s="285"/>
      <c r="G34" s="285"/>
      <c r="H34" s="285"/>
      <c r="I34" s="217"/>
    </row>
    <row r="35" spans="1:14" x14ac:dyDescent="0.25">
      <c r="A35" s="563"/>
      <c r="B35" s="285"/>
      <c r="C35" s="285"/>
      <c r="D35" s="285"/>
      <c r="E35" s="285"/>
      <c r="F35" s="285"/>
      <c r="G35" s="285"/>
      <c r="H35" s="285"/>
      <c r="I35" s="217"/>
    </row>
    <row r="36" spans="1:14" x14ac:dyDescent="0.25">
      <c r="A36" s="217"/>
      <c r="B36" s="285"/>
      <c r="C36" s="285"/>
      <c r="D36" s="285"/>
      <c r="E36" s="285"/>
      <c r="F36" s="285"/>
      <c r="G36" s="285"/>
      <c r="H36" s="285"/>
      <c r="I36" s="289"/>
    </row>
    <row r="37" spans="1:14" x14ac:dyDescent="0.25">
      <c r="A37" s="217"/>
      <c r="B37" s="285"/>
      <c r="C37" s="285"/>
      <c r="D37" s="285"/>
      <c r="E37" s="285"/>
      <c r="F37" s="285"/>
      <c r="G37" s="285"/>
      <c r="H37" s="285"/>
      <c r="I37" s="289"/>
    </row>
    <row r="38" spans="1:14" x14ac:dyDescent="0.25">
      <c r="A38" s="217"/>
      <c r="B38" s="285"/>
      <c r="C38" s="285"/>
      <c r="D38" s="285"/>
      <c r="E38" s="285"/>
      <c r="F38" s="285"/>
      <c r="G38" s="285"/>
      <c r="H38" s="285"/>
      <c r="I38" s="289"/>
    </row>
    <row r="39" spans="1:14" x14ac:dyDescent="0.25">
      <c r="A39" s="290"/>
      <c r="B39" s="291"/>
      <c r="C39" s="291"/>
      <c r="D39" s="291"/>
      <c r="E39" s="291"/>
      <c r="F39" s="291"/>
      <c r="G39" s="291"/>
      <c r="H39" s="291"/>
      <c r="I39" s="292"/>
    </row>
    <row r="41" spans="1:14" x14ac:dyDescent="0.25">
      <c r="B41" s="293"/>
      <c r="C41" s="293"/>
      <c r="N41" s="584">
        <f>IF(J8="É ESSE",B32,B28)</f>
        <v>365</v>
      </c>
    </row>
    <row r="42" spans="1:14" x14ac:dyDescent="0.25">
      <c r="J42" s="294"/>
      <c r="N42" s="584"/>
    </row>
    <row r="47" spans="1:14" x14ac:dyDescent="0.25">
      <c r="B47" s="561">
        <f>D3</f>
        <v>1200</v>
      </c>
    </row>
    <row r="48" spans="1:14" x14ac:dyDescent="0.25">
      <c r="B48" s="561"/>
    </row>
    <row r="49" spans="2:13" ht="18" x14ac:dyDescent="0.25">
      <c r="B49" s="561"/>
      <c r="C49" s="562">
        <f>IF(J8="é esse",E9,D9)</f>
        <v>326</v>
      </c>
      <c r="D49" s="562"/>
    </row>
    <row r="50" spans="2:13" x14ac:dyDescent="0.25">
      <c r="B50" s="561"/>
    </row>
    <row r="51" spans="2:13" x14ac:dyDescent="0.25">
      <c r="B51" s="561"/>
    </row>
    <row r="52" spans="2:13" x14ac:dyDescent="0.25">
      <c r="B52" s="561"/>
    </row>
    <row r="53" spans="2:13" x14ac:dyDescent="0.25">
      <c r="D53" s="577">
        <f>IF(J8="é esse",D9,E9)</f>
        <v>835</v>
      </c>
    </row>
    <row r="54" spans="2:13" x14ac:dyDescent="0.25">
      <c r="D54" s="577"/>
    </row>
    <row r="55" spans="2:13" x14ac:dyDescent="0.25">
      <c r="D55" s="577"/>
    </row>
    <row r="56" spans="2:13" x14ac:dyDescent="0.25">
      <c r="D56" s="577"/>
    </row>
    <row r="57" spans="2:13" x14ac:dyDescent="0.25">
      <c r="D57" s="295"/>
    </row>
    <row r="60" spans="2:13" x14ac:dyDescent="0.25">
      <c r="F60" s="557">
        <f>E3</f>
        <v>3000</v>
      </c>
      <c r="G60" s="557"/>
      <c r="H60" s="557"/>
      <c r="L60" s="558">
        <f>IF(J8="É ESSE",D33,D29)</f>
        <v>66</v>
      </c>
      <c r="M60" s="558"/>
    </row>
    <row r="61" spans="2:13" x14ac:dyDescent="0.25">
      <c r="F61" s="557"/>
      <c r="G61" s="557"/>
      <c r="H61" s="557"/>
      <c r="L61" s="558"/>
      <c r="M61" s="558"/>
    </row>
    <row r="62" spans="2:13" x14ac:dyDescent="0.25">
      <c r="F62" s="557"/>
      <c r="G62" s="557"/>
      <c r="H62" s="557"/>
    </row>
  </sheetData>
  <sheetProtection selectLockedCells="1"/>
  <mergeCells count="53">
    <mergeCell ref="A2:B6"/>
    <mergeCell ref="F2:G3"/>
    <mergeCell ref="H2:I2"/>
    <mergeCell ref="J2:K2"/>
    <mergeCell ref="C3:C6"/>
    <mergeCell ref="D3:D6"/>
    <mergeCell ref="E3:E6"/>
    <mergeCell ref="H3:I6"/>
    <mergeCell ref="J3:K6"/>
    <mergeCell ref="F4:G9"/>
    <mergeCell ref="E16:I16"/>
    <mergeCell ref="A7:E7"/>
    <mergeCell ref="H7:I9"/>
    <mergeCell ref="J7:K7"/>
    <mergeCell ref="A8:B13"/>
    <mergeCell ref="J8:K16"/>
    <mergeCell ref="C9:C10"/>
    <mergeCell ref="D9:D10"/>
    <mergeCell ref="E9:E10"/>
    <mergeCell ref="G10:I10"/>
    <mergeCell ref="F12:F13"/>
    <mergeCell ref="D53:D56"/>
    <mergeCell ref="F60:H62"/>
    <mergeCell ref="L60:M61"/>
    <mergeCell ref="A1:V1"/>
    <mergeCell ref="O5:T5"/>
    <mergeCell ref="P6:Q6"/>
    <mergeCell ref="S6:T6"/>
    <mergeCell ref="B47:B52"/>
    <mergeCell ref="P7:Q7"/>
    <mergeCell ref="N41:N42"/>
    <mergeCell ref="A17:K17"/>
    <mergeCell ref="A18:B22"/>
    <mergeCell ref="F18:I18"/>
    <mergeCell ref="J18:K25"/>
    <mergeCell ref="G19:I19"/>
    <mergeCell ref="F21:F22"/>
    <mergeCell ref="S7:T7"/>
    <mergeCell ref="C49:D49"/>
    <mergeCell ref="A25:D25"/>
    <mergeCell ref="E25:I25"/>
    <mergeCell ref="A26:H26"/>
    <mergeCell ref="A27:A30"/>
    <mergeCell ref="A32:A35"/>
    <mergeCell ref="F24:I24"/>
    <mergeCell ref="B23:D23"/>
    <mergeCell ref="F23:I23"/>
    <mergeCell ref="A24:D24"/>
    <mergeCell ref="B14:D14"/>
    <mergeCell ref="F14:I14"/>
    <mergeCell ref="A15:D15"/>
    <mergeCell ref="F15:I15"/>
    <mergeCell ref="A16:D16"/>
  </mergeCells>
  <conditionalFormatting sqref="H13">
    <cfRule type="cellIs" dxfId="2" priority="3" stopIfTrue="1" operator="greaterThan">
      <formula>0</formula>
    </cfRule>
  </conditionalFormatting>
  <conditionalFormatting sqref="E8 F2:K3 F10:I10 H4:K6">
    <cfRule type="cellIs" dxfId="1" priority="2" stopIfTrue="1" operator="equal">
      <formula>"VER QUANT."</formula>
    </cfRule>
  </conditionalFormatting>
  <conditionalFormatting sqref="H7:I9">
    <cfRule type="cellIs" dxfId="0" priority="1" stopIfTrue="1" operator="equal">
      <formula>"VER QUANT."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20"/>
  <dimension ref="A1:V10"/>
  <sheetViews>
    <sheetView showGridLines="0" workbookViewId="0">
      <pane xSplit="27" ySplit="85" topLeftCell="AB86" activePane="bottomRight" state="frozen"/>
      <selection pane="topRight" activeCell="AB1" sqref="AB1"/>
      <selection pane="bottomLeft" activeCell="A87" sqref="A87"/>
      <selection pane="bottomRight" activeCell="C4" sqref="C4"/>
    </sheetView>
  </sheetViews>
  <sheetFormatPr defaultColWidth="11.7109375" defaultRowHeight="12.75" x14ac:dyDescent="0.25"/>
  <cols>
    <col min="1" max="1" width="11.7109375" style="314"/>
    <col min="2" max="2" width="17.5703125" style="314" customWidth="1"/>
    <col min="3" max="3" width="22.85546875" style="314" customWidth="1"/>
    <col min="4" max="6" width="11.7109375" style="314"/>
    <col min="7" max="7" width="12.5703125" style="314" hidden="1" customWidth="1"/>
    <col min="8" max="16384" width="11.7109375" style="314"/>
  </cols>
  <sheetData>
    <row r="1" spans="1:22" ht="14.25" x14ac:dyDescent="0.25">
      <c r="A1" s="864" t="s">
        <v>145</v>
      </c>
      <c r="B1" s="864"/>
      <c r="C1" s="864"/>
      <c r="D1" s="864"/>
      <c r="E1" s="864"/>
      <c r="F1" s="864"/>
      <c r="G1" s="864"/>
      <c r="H1" s="864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</row>
    <row r="2" spans="1:22" ht="13.5" thickBot="1" x14ac:dyDescent="0.3"/>
    <row r="3" spans="1:22" ht="18" customHeight="1" x14ac:dyDescent="0.25">
      <c r="B3" s="894" t="s">
        <v>140</v>
      </c>
      <c r="C3" s="315" t="s">
        <v>146</v>
      </c>
      <c r="D3" s="316" t="s">
        <v>141</v>
      </c>
      <c r="E3" s="316" t="s">
        <v>142</v>
      </c>
      <c r="F3" s="317" t="s">
        <v>143</v>
      </c>
    </row>
    <row r="4" spans="1:22" s="318" customFormat="1" ht="42" customHeight="1" thickBot="1" x14ac:dyDescent="0.3">
      <c r="B4" s="895"/>
      <c r="C4" s="313">
        <v>80</v>
      </c>
      <c r="D4" s="319">
        <f>C4/G5*D5</f>
        <v>47.058823529411768</v>
      </c>
      <c r="E4" s="319">
        <f>C4/G5*E5</f>
        <v>9.4117647058823533</v>
      </c>
      <c r="F4" s="320">
        <f>C4/G5*F5</f>
        <v>23.529411764705884</v>
      </c>
      <c r="G4" s="321">
        <f>SUM(D4:F4)</f>
        <v>80</v>
      </c>
      <c r="I4" s="322"/>
    </row>
    <row r="5" spans="1:22" ht="23.85" hidden="1" customHeight="1" x14ac:dyDescent="0.25">
      <c r="B5" s="153"/>
      <c r="C5" s="153"/>
      <c r="D5" s="153">
        <v>5</v>
      </c>
      <c r="E5" s="153">
        <v>1</v>
      </c>
      <c r="F5" s="153">
        <v>2.5</v>
      </c>
      <c r="G5" s="314">
        <f>SUM(D5:F5)</f>
        <v>8.5</v>
      </c>
    </row>
    <row r="6" spans="1:22" ht="23.85" customHeight="1" x14ac:dyDescent="0.25">
      <c r="B6" s="153"/>
      <c r="C6" s="153"/>
      <c r="D6" s="323"/>
      <c r="E6" s="323"/>
      <c r="F6" s="323"/>
      <c r="G6" s="324"/>
    </row>
    <row r="7" spans="1:22" ht="23.85" customHeight="1" thickBot="1" x14ac:dyDescent="0.3">
      <c r="B7" s="153"/>
      <c r="C7" s="153"/>
      <c r="D7" s="153"/>
      <c r="E7" s="153"/>
      <c r="F7" s="153"/>
    </row>
    <row r="8" spans="1:22" ht="18" customHeight="1" x14ac:dyDescent="0.25">
      <c r="B8" s="894" t="s">
        <v>144</v>
      </c>
      <c r="C8" s="315" t="s">
        <v>147</v>
      </c>
      <c r="D8" s="316" t="s">
        <v>141</v>
      </c>
      <c r="E8" s="316" t="s">
        <v>142</v>
      </c>
      <c r="F8" s="317" t="s">
        <v>143</v>
      </c>
    </row>
    <row r="9" spans="1:22" s="318" customFormat="1" ht="42" customHeight="1" thickBot="1" x14ac:dyDescent="0.3">
      <c r="B9" s="895"/>
      <c r="C9" s="313">
        <v>150</v>
      </c>
      <c r="D9" s="319">
        <f>C9/G10*D10</f>
        <v>100.96153846153847</v>
      </c>
      <c r="E9" s="319">
        <f>C9/G10*E10</f>
        <v>28.846153846153847</v>
      </c>
      <c r="F9" s="320">
        <f>C9/G10*F10</f>
        <v>20.19230769230769</v>
      </c>
      <c r="G9" s="321">
        <f>SUM(D9:F9)</f>
        <v>150</v>
      </c>
    </row>
    <row r="10" spans="1:22" ht="23.85" hidden="1" customHeight="1" x14ac:dyDescent="0.25">
      <c r="D10" s="314">
        <v>3.5</v>
      </c>
      <c r="E10" s="314">
        <v>1</v>
      </c>
      <c r="F10" s="314">
        <v>0.7</v>
      </c>
      <c r="G10" s="314">
        <f>SUM(D10:F10)</f>
        <v>5.2</v>
      </c>
    </row>
  </sheetData>
  <sheetProtection selectLockedCells="1"/>
  <mergeCells count="3">
    <mergeCell ref="B3:B4"/>
    <mergeCell ref="B8:B9"/>
    <mergeCell ref="A1:H1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Roman,Normal"&amp;12Página &amp;P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32"/>
  <dimension ref="A1:IT24"/>
  <sheetViews>
    <sheetView showGridLines="0" showRowColHeaders="0" zoomScale="120" zoomScaleNormal="120" workbookViewId="0">
      <selection activeCell="F6" sqref="F6"/>
    </sheetView>
  </sheetViews>
  <sheetFormatPr defaultColWidth="0" defaultRowHeight="12.75" customHeight="1" zeroHeight="1" x14ac:dyDescent="0.25"/>
  <cols>
    <col min="1" max="4" width="5.5703125" style="330" customWidth="1"/>
    <col min="5" max="5" width="6" style="342" customWidth="1"/>
    <col min="6" max="6" width="8.42578125" style="330" customWidth="1"/>
    <col min="7" max="7" width="11.140625" style="330" customWidth="1"/>
    <col min="8" max="8" width="13.28515625" style="330" customWidth="1"/>
    <col min="9" max="9" width="14.28515625" style="343" customWidth="1"/>
    <col min="10" max="16" width="5.5703125" style="330" customWidth="1"/>
    <col min="17" max="16384" width="0" style="330" hidden="1"/>
  </cols>
  <sheetData>
    <row r="1" spans="1:254" ht="23.25" customHeight="1" thickBot="1" x14ac:dyDescent="0.3">
      <c r="A1" s="327"/>
      <c r="B1" s="327"/>
      <c r="C1" s="327"/>
      <c r="D1" s="327"/>
      <c r="E1" s="328"/>
      <c r="F1" s="327"/>
      <c r="G1" s="327"/>
      <c r="H1" s="327"/>
      <c r="I1" s="329"/>
      <c r="J1" s="327"/>
    </row>
    <row r="2" spans="1:254" ht="23.25" customHeight="1" thickBot="1" x14ac:dyDescent="0.3">
      <c r="A2" s="327"/>
      <c r="B2" s="327"/>
      <c r="C2" s="327"/>
      <c r="D2" s="327"/>
      <c r="E2" s="896" t="s">
        <v>170</v>
      </c>
      <c r="F2" s="897"/>
      <c r="G2" s="897"/>
      <c r="H2" s="897"/>
      <c r="I2" s="898"/>
      <c r="J2" s="327"/>
      <c r="IP2" s="330" t="s">
        <v>171</v>
      </c>
      <c r="IQ2" s="330" t="s">
        <v>172</v>
      </c>
      <c r="IR2" s="330" t="s">
        <v>173</v>
      </c>
      <c r="IT2" s="330" t="s">
        <v>174</v>
      </c>
    </row>
    <row r="3" spans="1:254" ht="23.25" customHeight="1" x14ac:dyDescent="0.25">
      <c r="A3" s="327"/>
      <c r="B3" s="327"/>
      <c r="C3" s="327"/>
      <c r="D3" s="327"/>
      <c r="E3" s="328"/>
      <c r="F3" s="327"/>
      <c r="G3" s="327"/>
      <c r="H3" s="327"/>
      <c r="I3" s="329"/>
      <c r="J3" s="327"/>
    </row>
    <row r="4" spans="1:254" ht="23.25" customHeight="1" thickBot="1" x14ac:dyDescent="0.3">
      <c r="A4" s="327"/>
      <c r="B4" s="327"/>
      <c r="C4" s="327"/>
      <c r="D4" s="327"/>
      <c r="E4" s="899" t="s">
        <v>175</v>
      </c>
      <c r="F4" s="899"/>
      <c r="G4" s="899"/>
      <c r="H4" s="899"/>
      <c r="I4" s="899"/>
      <c r="J4" s="327"/>
      <c r="IP4" s="330">
        <f>HOUR(H6)</f>
        <v>1</v>
      </c>
      <c r="IQ4" s="330">
        <f>IP4*60+MINUTE(IP4)</f>
        <v>60</v>
      </c>
      <c r="IR4" s="330">
        <f>SECOND(H6)</f>
        <v>0</v>
      </c>
      <c r="IT4" s="331">
        <f>IR4/60</f>
        <v>0</v>
      </c>
    </row>
    <row r="5" spans="1:254" ht="23.25" customHeight="1" thickBot="1" x14ac:dyDescent="0.3">
      <c r="A5" s="327"/>
      <c r="B5" s="327"/>
      <c r="C5" s="327"/>
      <c r="D5" s="327"/>
      <c r="E5" s="332" t="s">
        <v>176</v>
      </c>
      <c r="F5" s="333" t="s">
        <v>177</v>
      </c>
      <c r="G5" s="333" t="s">
        <v>173</v>
      </c>
      <c r="H5" s="345" t="s">
        <v>178</v>
      </c>
      <c r="I5" s="334" t="s">
        <v>174</v>
      </c>
      <c r="J5" s="327"/>
    </row>
    <row r="6" spans="1:254" ht="23.25" customHeight="1" thickBot="1" x14ac:dyDescent="0.3">
      <c r="A6" s="327"/>
      <c r="B6" s="327"/>
      <c r="C6" s="327"/>
      <c r="D6" s="327"/>
      <c r="E6" s="335">
        <v>1</v>
      </c>
      <c r="F6" s="336">
        <v>0</v>
      </c>
      <c r="G6" s="336">
        <v>0</v>
      </c>
      <c r="H6" s="346">
        <f>TIME(E6,F6,G6)</f>
        <v>4.1666666666666664E-2</v>
      </c>
      <c r="I6" s="337">
        <f>IQ12+IT4</f>
        <v>60</v>
      </c>
      <c r="J6" s="327"/>
      <c r="K6" s="331"/>
      <c r="IQ6" s="330" t="s">
        <v>179</v>
      </c>
    </row>
    <row r="7" spans="1:254" ht="23.25" customHeight="1" x14ac:dyDescent="0.25">
      <c r="A7" s="327"/>
      <c r="B7" s="327"/>
      <c r="C7" s="327"/>
      <c r="D7" s="327"/>
      <c r="E7" s="328"/>
      <c r="F7" s="327"/>
      <c r="G7" s="327"/>
      <c r="H7" s="327"/>
      <c r="I7" s="329"/>
      <c r="J7" s="327"/>
      <c r="IQ7" s="338">
        <f>MINUTE(H6)</f>
        <v>0</v>
      </c>
    </row>
    <row r="8" spans="1:254" ht="23.25" customHeight="1" thickBot="1" x14ac:dyDescent="0.3">
      <c r="A8" s="327"/>
      <c r="B8" s="327"/>
      <c r="C8" s="327"/>
      <c r="D8" s="327"/>
      <c r="E8" s="899" t="s">
        <v>180</v>
      </c>
      <c r="F8" s="899"/>
      <c r="G8" s="899"/>
      <c r="H8" s="899"/>
      <c r="I8" s="899"/>
      <c r="J8" s="327"/>
      <c r="IQ8" s="338"/>
    </row>
    <row r="9" spans="1:254" ht="23.25" customHeight="1" thickBot="1" x14ac:dyDescent="0.3">
      <c r="A9" s="327"/>
      <c r="B9" s="327"/>
      <c r="C9" s="327"/>
      <c r="D9" s="327"/>
      <c r="E9" s="332" t="s">
        <v>174</v>
      </c>
      <c r="F9" s="345" t="s">
        <v>176</v>
      </c>
      <c r="G9" s="345" t="s">
        <v>177</v>
      </c>
      <c r="H9" s="345" t="s">
        <v>173</v>
      </c>
      <c r="I9" s="334" t="s">
        <v>181</v>
      </c>
      <c r="J9" s="327"/>
      <c r="IQ9" s="338"/>
    </row>
    <row r="10" spans="1:254" ht="23.25" customHeight="1" thickBot="1" x14ac:dyDescent="0.3">
      <c r="A10" s="327"/>
      <c r="B10" s="327"/>
      <c r="C10" s="327"/>
      <c r="D10" s="339"/>
      <c r="E10" s="340">
        <v>0.04</v>
      </c>
      <c r="F10" s="347">
        <f>IT22</f>
        <v>0</v>
      </c>
      <c r="G10" s="347">
        <f>IT23*60</f>
        <v>0</v>
      </c>
      <c r="H10" s="348">
        <f>IS19*60</f>
        <v>2.4</v>
      </c>
      <c r="I10" s="341">
        <f>TIME(F10,G10,H10)</f>
        <v>2.3148148148148147E-5</v>
      </c>
      <c r="J10" s="327"/>
    </row>
    <row r="11" spans="1:254" ht="23.25" customHeight="1" x14ac:dyDescent="0.25">
      <c r="IQ11" s="330" t="s">
        <v>182</v>
      </c>
    </row>
    <row r="12" spans="1:254" ht="23.25" customHeight="1" x14ac:dyDescent="0.25">
      <c r="IQ12" s="338">
        <f>IQ4+IQ7</f>
        <v>60</v>
      </c>
    </row>
    <row r="17" spans="250:254" ht="12.75" hidden="1" customHeight="1" x14ac:dyDescent="0.25">
      <c r="IP17" s="330" t="s">
        <v>171</v>
      </c>
      <c r="IQ17" s="330" t="s">
        <v>172</v>
      </c>
      <c r="IR17" s="330" t="s">
        <v>173</v>
      </c>
      <c r="IS17" s="330" t="s">
        <v>183</v>
      </c>
      <c r="IT17" s="330" t="s">
        <v>174</v>
      </c>
    </row>
    <row r="18" spans="250:254" ht="12.75" hidden="1" customHeight="1" x14ac:dyDescent="0.25">
      <c r="IP18" s="330">
        <f>HOUR(IS18)</f>
        <v>0</v>
      </c>
      <c r="IQ18" s="330">
        <f>MINUTE(IS18)</f>
        <v>0</v>
      </c>
      <c r="IR18" s="330">
        <f>SECOND(M6)</f>
        <v>0</v>
      </c>
      <c r="IS18" s="344">
        <f>TRUNC(IT18,0)</f>
        <v>0</v>
      </c>
      <c r="IT18" s="344">
        <f>E10</f>
        <v>0.04</v>
      </c>
    </row>
    <row r="19" spans="250:254" ht="12.75" hidden="1" customHeight="1" x14ac:dyDescent="0.25">
      <c r="IS19" s="344">
        <f>IT18-IS18</f>
        <v>0.04</v>
      </c>
    </row>
    <row r="20" spans="250:254" ht="12.75" hidden="1" customHeight="1" x14ac:dyDescent="0.25">
      <c r="IQ20" s="330" t="s">
        <v>179</v>
      </c>
    </row>
    <row r="21" spans="250:254" ht="12.75" hidden="1" customHeight="1" x14ac:dyDescent="0.25">
      <c r="IQ21" s="338">
        <f>MINUTE(M6)</f>
        <v>0</v>
      </c>
    </row>
    <row r="22" spans="250:254" ht="12.75" hidden="1" customHeight="1" x14ac:dyDescent="0.25">
      <c r="IS22" s="330">
        <f>IS18/60</f>
        <v>0</v>
      </c>
      <c r="IT22" s="330">
        <f>TRUNC(IS22,0)</f>
        <v>0</v>
      </c>
    </row>
    <row r="23" spans="250:254" ht="12.75" hidden="1" customHeight="1" x14ac:dyDescent="0.25">
      <c r="IQ23" s="330" t="s">
        <v>182</v>
      </c>
      <c r="IT23" s="330">
        <f>IS22-IT22</f>
        <v>0</v>
      </c>
    </row>
    <row r="24" spans="250:254" ht="12.75" hidden="1" customHeight="1" x14ac:dyDescent="0.25">
      <c r="IQ24" s="338">
        <f>IQ18+IQ21</f>
        <v>0</v>
      </c>
    </row>
  </sheetData>
  <sheetProtection password="921C" sheet="1" objects="1" scenarios="1" selectLockedCells="1"/>
  <mergeCells count="3">
    <mergeCell ref="E2:I2"/>
    <mergeCell ref="E4:I4"/>
    <mergeCell ref="E8:I8"/>
  </mergeCells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33"/>
  <dimension ref="A1:Y65487"/>
  <sheetViews>
    <sheetView zoomScale="115" zoomScaleNormal="115" workbookViewId="0">
      <selection activeCell="J6" sqref="J6:K7"/>
    </sheetView>
  </sheetViews>
  <sheetFormatPr defaultColWidth="9.140625" defaultRowHeight="12.75" x14ac:dyDescent="0.2"/>
  <cols>
    <col min="1" max="10" width="9.140625" style="105"/>
    <col min="11" max="11" width="10.28515625" style="105" customWidth="1"/>
    <col min="12" max="12" width="9.140625" style="105"/>
    <col min="13" max="13" width="0" style="105" hidden="1" customWidth="1"/>
    <col min="14" max="14" width="12" style="105" hidden="1" customWidth="1"/>
    <col min="15" max="15" width="9.140625" style="105"/>
    <col min="16" max="16" width="23.28515625" style="105" bestFit="1" customWidth="1"/>
    <col min="17" max="24" width="9.140625" style="105"/>
    <col min="25" max="25" width="10" style="105" bestFit="1" customWidth="1"/>
    <col min="26" max="16384" width="9.140625" style="105"/>
  </cols>
  <sheetData>
    <row r="1" spans="1:18" ht="15" thickBot="1" x14ac:dyDescent="0.25">
      <c r="A1" s="910" t="s">
        <v>184</v>
      </c>
      <c r="B1" s="910"/>
      <c r="C1" s="910"/>
      <c r="D1" s="910"/>
      <c r="E1" s="910"/>
      <c r="F1" s="910"/>
      <c r="G1" s="910"/>
      <c r="H1" s="910"/>
      <c r="I1" s="910"/>
      <c r="J1" s="910"/>
      <c r="K1" s="910"/>
    </row>
    <row r="2" spans="1:18" x14ac:dyDescent="0.2">
      <c r="A2" s="911" t="s">
        <v>185</v>
      </c>
      <c r="B2" s="912"/>
      <c r="C2" s="912"/>
      <c r="D2" s="912"/>
      <c r="E2" s="912"/>
      <c r="F2" s="912"/>
      <c r="G2" s="912"/>
      <c r="H2" s="912"/>
      <c r="I2" s="912"/>
      <c r="J2" s="912"/>
      <c r="K2" s="913"/>
    </row>
    <row r="3" spans="1:18" ht="13.5" thickBot="1" x14ac:dyDescent="0.25">
      <c r="A3" s="914"/>
      <c r="B3" s="915"/>
      <c r="C3" s="915"/>
      <c r="D3" s="915"/>
      <c r="E3" s="915"/>
      <c r="F3" s="915"/>
      <c r="G3" s="915"/>
      <c r="H3" s="915"/>
      <c r="I3" s="915"/>
      <c r="J3" s="915"/>
      <c r="K3" s="916"/>
    </row>
    <row r="4" spans="1:18" x14ac:dyDescent="0.2">
      <c r="A4" s="144"/>
      <c r="B4" s="106"/>
      <c r="C4" s="106"/>
      <c r="D4" s="106"/>
      <c r="E4" s="106"/>
      <c r="F4" s="106"/>
      <c r="G4" s="106"/>
      <c r="H4" s="106"/>
      <c r="I4" s="106"/>
      <c r="J4" s="906" t="s">
        <v>300</v>
      </c>
      <c r="K4" s="907"/>
    </row>
    <row r="5" spans="1:18" ht="22.5" customHeight="1" thickBot="1" x14ac:dyDescent="0.25">
      <c r="A5" s="144"/>
      <c r="B5" s="106"/>
      <c r="C5" s="106"/>
      <c r="D5" s="106"/>
      <c r="E5" s="106"/>
      <c r="F5" s="106"/>
      <c r="G5" s="106"/>
      <c r="H5" s="106"/>
      <c r="I5" s="106"/>
      <c r="J5" s="908"/>
      <c r="K5" s="909"/>
    </row>
    <row r="6" spans="1:18" ht="18.75" customHeight="1" x14ac:dyDescent="0.2">
      <c r="A6" s="144"/>
      <c r="B6" s="106"/>
      <c r="C6" s="106"/>
      <c r="D6" s="801" t="s">
        <v>304</v>
      </c>
      <c r="E6" s="802"/>
      <c r="F6" s="802"/>
      <c r="G6" s="803"/>
      <c r="H6" s="917">
        <v>18</v>
      </c>
      <c r="I6" s="106"/>
      <c r="J6" s="902">
        <f>((D13*H6)/1000000)/P15</f>
        <v>1.7495999999999999E-4</v>
      </c>
      <c r="K6" s="903"/>
    </row>
    <row r="7" spans="1:18" ht="18.75" customHeight="1" thickBot="1" x14ac:dyDescent="0.25">
      <c r="A7" s="144"/>
      <c r="B7" s="106"/>
      <c r="C7" s="106"/>
      <c r="D7" s="804"/>
      <c r="E7" s="805"/>
      <c r="F7" s="805"/>
      <c r="G7" s="806"/>
      <c r="H7" s="917"/>
      <c r="I7" s="106"/>
      <c r="J7" s="904"/>
      <c r="K7" s="905"/>
    </row>
    <row r="8" spans="1:18" ht="18.75" customHeight="1" x14ac:dyDescent="0.2">
      <c r="A8" s="144"/>
      <c r="B8" s="106"/>
      <c r="C8" s="106"/>
      <c r="D8" s="804"/>
      <c r="E8" s="805"/>
      <c r="F8" s="805"/>
      <c r="G8" s="806"/>
      <c r="H8" s="917"/>
      <c r="I8" s="106"/>
      <c r="J8" s="906" t="s">
        <v>303</v>
      </c>
      <c r="K8" s="907"/>
    </row>
    <row r="9" spans="1:18" ht="18.75" customHeight="1" x14ac:dyDescent="0.2">
      <c r="A9" s="795" t="s">
        <v>73</v>
      </c>
      <c r="B9" s="796"/>
      <c r="C9" s="815"/>
      <c r="D9" s="804"/>
      <c r="E9" s="805"/>
      <c r="F9" s="805"/>
      <c r="G9" s="806"/>
      <c r="H9" s="917"/>
      <c r="I9" s="106"/>
      <c r="J9" s="908"/>
      <c r="K9" s="909"/>
      <c r="O9" s="530"/>
    </row>
    <row r="10" spans="1:18" ht="18.75" x14ac:dyDescent="0.2">
      <c r="A10" s="144"/>
      <c r="B10" s="106"/>
      <c r="C10" s="106"/>
      <c r="D10" s="804"/>
      <c r="E10" s="805"/>
      <c r="F10" s="805"/>
      <c r="G10" s="806"/>
      <c r="H10" s="917"/>
      <c r="I10" s="106"/>
      <c r="J10" s="528"/>
      <c r="K10" s="529"/>
    </row>
    <row r="11" spans="1:18" ht="18.75" customHeight="1" x14ac:dyDescent="0.2">
      <c r="A11" s="144"/>
      <c r="B11" s="106"/>
      <c r="C11" s="106"/>
      <c r="D11" s="804"/>
      <c r="E11" s="805"/>
      <c r="F11" s="805"/>
      <c r="G11" s="806"/>
      <c r="H11" s="917"/>
      <c r="I11" s="106"/>
      <c r="J11" s="902">
        <f>J6*2</f>
        <v>3.4991999999999998E-4</v>
      </c>
      <c r="K11" s="903"/>
    </row>
    <row r="12" spans="1:18" ht="15.75" customHeight="1" thickBot="1" x14ac:dyDescent="0.25">
      <c r="A12" s="144"/>
      <c r="B12" s="106"/>
      <c r="C12" s="106"/>
      <c r="D12" s="807"/>
      <c r="E12" s="808"/>
      <c r="F12" s="808"/>
      <c r="G12" s="809"/>
      <c r="H12" s="917"/>
      <c r="I12" s="106"/>
      <c r="J12" s="904"/>
      <c r="K12" s="905"/>
    </row>
    <row r="13" spans="1:18" ht="12.75" customHeight="1" x14ac:dyDescent="0.2">
      <c r="A13" s="144"/>
      <c r="B13" s="106"/>
      <c r="C13" s="106"/>
      <c r="D13" s="918">
        <v>90</v>
      </c>
      <c r="E13" s="918"/>
      <c r="F13" s="918"/>
      <c r="G13" s="918"/>
      <c r="H13" s="106"/>
      <c r="I13" s="106"/>
      <c r="J13" s="106"/>
      <c r="K13" s="145"/>
    </row>
    <row r="14" spans="1:18" ht="12.75" customHeight="1" thickBot="1" x14ac:dyDescent="0.25">
      <c r="A14" s="144"/>
      <c r="B14" s="106"/>
      <c r="C14" s="106"/>
      <c r="D14" s="919"/>
      <c r="E14" s="919"/>
      <c r="F14" s="919"/>
      <c r="G14" s="919"/>
      <c r="H14" s="106"/>
      <c r="I14" s="106"/>
      <c r="J14" s="106"/>
      <c r="K14" s="145"/>
    </row>
    <row r="15" spans="1:18" ht="12.75" customHeight="1" x14ac:dyDescent="0.2">
      <c r="A15" s="144"/>
      <c r="B15" s="106"/>
      <c r="C15" s="106"/>
      <c r="D15" s="919"/>
      <c r="E15" s="919"/>
      <c r="F15" s="919"/>
      <c r="G15" s="919"/>
      <c r="H15" s="106"/>
      <c r="I15" s="106"/>
      <c r="J15" s="106"/>
      <c r="K15" s="145"/>
      <c r="P15" s="545">
        <f>1000/(Q16*Q17)</f>
        <v>9.2592592592592595</v>
      </c>
      <c r="Q15" s="546" t="s">
        <v>305</v>
      </c>
    </row>
    <row r="16" spans="1:18" x14ac:dyDescent="0.2">
      <c r="A16" s="144"/>
      <c r="B16" s="106"/>
      <c r="C16" s="106"/>
      <c r="D16" s="106"/>
      <c r="E16" s="106"/>
      <c r="F16" s="106"/>
      <c r="G16" s="106"/>
      <c r="H16" s="106"/>
      <c r="I16" s="106"/>
      <c r="J16" s="106"/>
      <c r="K16" s="145"/>
      <c r="P16" s="547" t="s">
        <v>339</v>
      </c>
      <c r="Q16" s="551">
        <v>60</v>
      </c>
      <c r="R16" s="548" t="s">
        <v>340</v>
      </c>
    </row>
    <row r="17" spans="1:25" x14ac:dyDescent="0.2">
      <c r="A17" s="144"/>
      <c r="B17" s="106"/>
      <c r="C17" s="106"/>
      <c r="D17" s="106"/>
      <c r="E17" s="106"/>
      <c r="F17" s="106"/>
      <c r="G17" s="106"/>
      <c r="H17" s="106"/>
      <c r="I17" s="106"/>
      <c r="J17" s="106"/>
      <c r="K17" s="145"/>
      <c r="P17" s="549" t="s">
        <v>341</v>
      </c>
      <c r="Q17" s="552">
        <v>1.8</v>
      </c>
      <c r="R17" s="550" t="s">
        <v>342</v>
      </c>
      <c r="S17" s="349"/>
      <c r="T17" s="349"/>
      <c r="U17" s="349"/>
      <c r="V17" s="349"/>
      <c r="W17" s="349"/>
      <c r="X17" s="349"/>
      <c r="Y17" s="349"/>
    </row>
    <row r="18" spans="1:25" x14ac:dyDescent="0.2">
      <c r="A18" s="144"/>
      <c r="B18" s="106"/>
      <c r="C18" s="106"/>
      <c r="D18" s="106"/>
      <c r="E18" s="106"/>
      <c r="F18" s="106"/>
      <c r="G18" s="106"/>
      <c r="H18" s="106"/>
      <c r="I18" s="106"/>
      <c r="J18" s="106"/>
      <c r="K18" s="145"/>
      <c r="O18" s="920" t="str">
        <f>"1 m² = "&amp;1/P15&amp;"kg"</f>
        <v>1 m² = 0,108kg</v>
      </c>
      <c r="P18" s="920"/>
      <c r="Q18" s="920"/>
      <c r="R18" s="920"/>
      <c r="S18" s="920"/>
      <c r="T18" s="920"/>
      <c r="U18" s="920"/>
      <c r="V18" s="921"/>
      <c r="W18" s="921"/>
      <c r="X18" s="921"/>
      <c r="Y18" s="349"/>
    </row>
    <row r="19" spans="1:25" x14ac:dyDescent="0.2">
      <c r="A19" s="144"/>
      <c r="B19" s="106"/>
      <c r="C19" s="106"/>
      <c r="D19" s="106"/>
      <c r="E19" s="106"/>
      <c r="F19" s="106"/>
      <c r="G19" s="106"/>
      <c r="H19" s="106"/>
      <c r="I19" s="106"/>
      <c r="J19" s="106"/>
      <c r="K19" s="145"/>
      <c r="O19" s="778"/>
      <c r="P19" s="778"/>
      <c r="Q19" s="900"/>
      <c r="R19" s="900"/>
      <c r="S19" s="900"/>
      <c r="T19" s="900"/>
      <c r="U19" s="900"/>
      <c r="V19" s="901"/>
      <c r="W19" s="901"/>
      <c r="Y19" s="351"/>
    </row>
    <row r="20" spans="1:25" ht="12.75" customHeight="1" thickBot="1" x14ac:dyDescent="0.25">
      <c r="A20" s="144"/>
      <c r="B20" s="106"/>
      <c r="C20" s="106"/>
      <c r="D20" s="106"/>
      <c r="E20" s="106"/>
      <c r="F20" s="106"/>
      <c r="G20" s="106"/>
      <c r="H20" s="106"/>
      <c r="I20" s="106"/>
      <c r="J20" s="106"/>
      <c r="K20" s="145"/>
      <c r="O20" s="778"/>
      <c r="P20" s="778"/>
      <c r="Q20" s="900"/>
      <c r="R20" s="900"/>
      <c r="S20" s="900"/>
      <c r="T20" s="900"/>
      <c r="U20" s="900"/>
      <c r="V20" s="901"/>
      <c r="W20" s="778"/>
      <c r="Y20" s="351"/>
    </row>
    <row r="21" spans="1:25" ht="19.5" customHeight="1" x14ac:dyDescent="0.2">
      <c r="A21" s="144"/>
      <c r="B21" s="106"/>
      <c r="C21" s="106"/>
      <c r="D21" s="106"/>
      <c r="E21" s="106"/>
      <c r="F21" s="106"/>
      <c r="G21" s="106"/>
      <c r="H21" s="106"/>
      <c r="I21" s="106"/>
      <c r="J21" s="906" t="s">
        <v>301</v>
      </c>
      <c r="K21" s="907"/>
      <c r="O21" s="778"/>
      <c r="P21" s="778"/>
      <c r="S21" s="923"/>
      <c r="T21" s="923"/>
      <c r="U21" s="923"/>
      <c r="V21" s="924"/>
      <c r="W21" s="920"/>
      <c r="X21" s="352"/>
      <c r="Y21" s="353"/>
    </row>
    <row r="22" spans="1:25" ht="19.5" customHeight="1" x14ac:dyDescent="0.2">
      <c r="A22" s="144"/>
      <c r="B22" s="106"/>
      <c r="C22" s="106"/>
      <c r="D22" s="106"/>
      <c r="E22" s="106"/>
      <c r="F22" s="790" t="s">
        <v>72</v>
      </c>
      <c r="G22" s="790"/>
      <c r="H22" s="106"/>
      <c r="I22" s="106"/>
      <c r="J22" s="908"/>
      <c r="K22" s="909"/>
    </row>
    <row r="23" spans="1:25" ht="18.75" x14ac:dyDescent="0.2">
      <c r="A23" s="144"/>
      <c r="B23" s="106"/>
      <c r="C23" s="106"/>
      <c r="D23" s="106"/>
      <c r="E23" s="106"/>
      <c r="F23" s="919">
        <v>275</v>
      </c>
      <c r="G23" s="919"/>
      <c r="H23" s="106"/>
      <c r="I23" s="106"/>
      <c r="J23" s="902">
        <f>(((F23*3.14)/1000)*(F26/1000)/P15)*1.2</f>
        <v>0.14212519199999998</v>
      </c>
      <c r="K23" s="903"/>
    </row>
    <row r="24" spans="1:25" ht="19.5" thickBot="1" x14ac:dyDescent="0.25">
      <c r="A24" s="144"/>
      <c r="B24" s="106"/>
      <c r="C24" s="106"/>
      <c r="D24" s="106"/>
      <c r="E24" s="106"/>
      <c r="F24" s="919"/>
      <c r="G24" s="919"/>
      <c r="H24" s="106"/>
      <c r="I24" s="106"/>
      <c r="J24" s="524"/>
      <c r="K24" s="525"/>
    </row>
    <row r="25" spans="1:25" ht="15.75" customHeight="1" x14ac:dyDescent="0.2">
      <c r="A25" s="795" t="s">
        <v>186</v>
      </c>
      <c r="B25" s="796"/>
      <c r="C25" s="796"/>
      <c r="D25" s="106"/>
      <c r="E25" s="106"/>
      <c r="F25" s="790" t="s">
        <v>12</v>
      </c>
      <c r="G25" s="790"/>
      <c r="H25" s="106"/>
      <c r="I25" s="106"/>
      <c r="J25" s="906" t="s">
        <v>302</v>
      </c>
      <c r="K25" s="907"/>
    </row>
    <row r="26" spans="1:25" ht="15.75" customHeight="1" x14ac:dyDescent="0.2">
      <c r="A26" s="144"/>
      <c r="B26" s="106"/>
      <c r="C26" s="106"/>
      <c r="D26" s="106"/>
      <c r="E26" s="106"/>
      <c r="F26" s="919">
        <v>1270</v>
      </c>
      <c r="G26" s="919"/>
      <c r="H26" s="106"/>
      <c r="I26" s="106"/>
      <c r="J26" s="908"/>
      <c r="K26" s="909"/>
    </row>
    <row r="27" spans="1:25" ht="18.75" customHeight="1" x14ac:dyDescent="0.2">
      <c r="A27" s="144"/>
      <c r="B27" s="106"/>
      <c r="C27" s="106"/>
      <c r="D27" s="106"/>
      <c r="E27" s="106"/>
      <c r="F27" s="919"/>
      <c r="G27" s="919"/>
      <c r="H27" s="106"/>
      <c r="I27" s="106"/>
      <c r="J27" s="902">
        <f>J23*2</f>
        <v>0.28425038399999997</v>
      </c>
      <c r="K27" s="903"/>
    </row>
    <row r="28" spans="1:25" ht="19.5" thickBot="1" x14ac:dyDescent="0.25">
      <c r="A28" s="144"/>
      <c r="B28" s="106"/>
      <c r="C28" s="106"/>
      <c r="D28" s="106"/>
      <c r="E28" s="106"/>
      <c r="F28" s="106"/>
      <c r="G28" s="106"/>
      <c r="H28" s="106"/>
      <c r="I28" s="106"/>
      <c r="J28" s="526"/>
      <c r="K28" s="527"/>
    </row>
    <row r="29" spans="1:25" ht="13.5" thickBot="1" x14ac:dyDescent="0.25">
      <c r="A29" s="146"/>
      <c r="B29" s="922"/>
      <c r="C29" s="922"/>
      <c r="D29" s="922"/>
      <c r="E29" s="922"/>
      <c r="F29" s="922"/>
      <c r="G29" s="922"/>
      <c r="H29" s="147"/>
      <c r="I29" s="147"/>
      <c r="J29" s="147"/>
      <c r="K29" s="148"/>
    </row>
    <row r="65487" spans="22:23" x14ac:dyDescent="0.2">
      <c r="V65487" s="778"/>
      <c r="W65487" s="778"/>
    </row>
  </sheetData>
  <sheetProtection selectLockedCells="1"/>
  <mergeCells count="33">
    <mergeCell ref="B29:G29"/>
    <mergeCell ref="V65487:W65487"/>
    <mergeCell ref="F22:G22"/>
    <mergeCell ref="F23:G24"/>
    <mergeCell ref="A25:C25"/>
    <mergeCell ref="F25:G25"/>
    <mergeCell ref="F26:G27"/>
    <mergeCell ref="J23:K23"/>
    <mergeCell ref="J25:K26"/>
    <mergeCell ref="J27:K27"/>
    <mergeCell ref="J21:K22"/>
    <mergeCell ref="O21:P21"/>
    <mergeCell ref="S21:U21"/>
    <mergeCell ref="V21:W21"/>
    <mergeCell ref="D13:G15"/>
    <mergeCell ref="O18:P18"/>
    <mergeCell ref="Q18:U18"/>
    <mergeCell ref="V18:X18"/>
    <mergeCell ref="O19:P19"/>
    <mergeCell ref="A1:K1"/>
    <mergeCell ref="A2:K3"/>
    <mergeCell ref="J4:K5"/>
    <mergeCell ref="D6:G12"/>
    <mergeCell ref="H6:H12"/>
    <mergeCell ref="A9:C9"/>
    <mergeCell ref="J11:K12"/>
    <mergeCell ref="Q20:U20"/>
    <mergeCell ref="V19:W19"/>
    <mergeCell ref="Q19:U19"/>
    <mergeCell ref="V20:W20"/>
    <mergeCell ref="J6:K7"/>
    <mergeCell ref="J8:K9"/>
    <mergeCell ref="O20:P20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26"/>
  <dimension ref="A23:U23"/>
  <sheetViews>
    <sheetView showGridLines="0" showRowColHeaders="0" workbookViewId="0"/>
  </sheetViews>
  <sheetFormatPr defaultRowHeight="15" x14ac:dyDescent="0.25"/>
  <sheetData>
    <row r="23" spans="1:21" ht="18.75" x14ac:dyDescent="0.3">
      <c r="A23" s="925" t="s">
        <v>132</v>
      </c>
      <c r="B23" s="925"/>
      <c r="C23" s="925"/>
      <c r="D23" s="925"/>
      <c r="E23" s="925"/>
      <c r="F23" s="925"/>
      <c r="G23" s="925"/>
      <c r="H23" s="925"/>
      <c r="I23" s="925"/>
      <c r="J23" s="925"/>
      <c r="K23" s="925"/>
      <c r="L23" s="925"/>
      <c r="M23" s="925"/>
      <c r="N23" s="925"/>
      <c r="O23" s="925"/>
      <c r="P23" s="925"/>
      <c r="Q23" s="925"/>
      <c r="R23" s="925"/>
      <c r="S23" s="925"/>
      <c r="T23" s="925"/>
      <c r="U23" s="925"/>
    </row>
  </sheetData>
  <sheetProtection selectLockedCells="1" selectUnlockedCells="1"/>
  <mergeCells count="1">
    <mergeCell ref="A23:U2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34"/>
  <dimension ref="A1:A32"/>
  <sheetViews>
    <sheetView showGridLines="0" workbookViewId="0">
      <selection activeCell="A6" sqref="A6"/>
    </sheetView>
  </sheetViews>
  <sheetFormatPr defaultRowHeight="15" x14ac:dyDescent="0.25"/>
  <cols>
    <col min="1" max="1" width="36.42578125" bestFit="1" customWidth="1"/>
  </cols>
  <sheetData>
    <row r="1" spans="1:1" x14ac:dyDescent="0.25">
      <c r="A1" s="325" t="s">
        <v>148</v>
      </c>
    </row>
    <row r="2" spans="1:1" x14ac:dyDescent="0.25">
      <c r="A2" s="326" t="s">
        <v>262</v>
      </c>
    </row>
    <row r="3" spans="1:1" x14ac:dyDescent="0.25">
      <c r="A3" s="326" t="s">
        <v>149</v>
      </c>
    </row>
    <row r="4" spans="1:1" x14ac:dyDescent="0.25">
      <c r="A4" s="354" t="s">
        <v>150</v>
      </c>
    </row>
    <row r="5" spans="1:1" x14ac:dyDescent="0.25">
      <c r="A5" s="326" t="s">
        <v>151</v>
      </c>
    </row>
    <row r="6" spans="1:1" x14ac:dyDescent="0.25">
      <c r="A6" s="326" t="s">
        <v>338</v>
      </c>
    </row>
    <row r="7" spans="1:1" x14ac:dyDescent="0.25">
      <c r="A7" s="326" t="s">
        <v>227</v>
      </c>
    </row>
    <row r="8" spans="1:1" x14ac:dyDescent="0.25">
      <c r="A8" s="326" t="s">
        <v>152</v>
      </c>
    </row>
    <row r="9" spans="1:1" x14ac:dyDescent="0.25">
      <c r="A9" s="326" t="s">
        <v>234</v>
      </c>
    </row>
    <row r="10" spans="1:1" x14ac:dyDescent="0.25">
      <c r="A10" s="326" t="s">
        <v>153</v>
      </c>
    </row>
    <row r="11" spans="1:1" x14ac:dyDescent="0.25">
      <c r="A11" s="326" t="s">
        <v>154</v>
      </c>
    </row>
    <row r="12" spans="1:1" x14ac:dyDescent="0.25">
      <c r="A12" s="326" t="s">
        <v>155</v>
      </c>
    </row>
    <row r="13" spans="1:1" x14ac:dyDescent="0.25">
      <c r="A13" s="326" t="s">
        <v>226</v>
      </c>
    </row>
    <row r="14" spans="1:1" x14ac:dyDescent="0.25">
      <c r="A14" s="326" t="s">
        <v>156</v>
      </c>
    </row>
    <row r="15" spans="1:1" x14ac:dyDescent="0.25">
      <c r="A15" s="326" t="s">
        <v>157</v>
      </c>
    </row>
    <row r="16" spans="1:1" x14ac:dyDescent="0.25">
      <c r="A16" s="326" t="s">
        <v>225</v>
      </c>
    </row>
    <row r="17" spans="1:1" x14ac:dyDescent="0.25">
      <c r="A17" s="326" t="s">
        <v>223</v>
      </c>
    </row>
    <row r="18" spans="1:1" x14ac:dyDescent="0.25">
      <c r="A18" s="326" t="s">
        <v>224</v>
      </c>
    </row>
    <row r="19" spans="1:1" x14ac:dyDescent="0.25">
      <c r="A19" s="326" t="s">
        <v>158</v>
      </c>
    </row>
    <row r="20" spans="1:1" x14ac:dyDescent="0.25">
      <c r="A20" s="326" t="s">
        <v>159</v>
      </c>
    </row>
    <row r="21" spans="1:1" x14ac:dyDescent="0.25">
      <c r="A21" s="326" t="s">
        <v>160</v>
      </c>
    </row>
    <row r="22" spans="1:1" x14ac:dyDescent="0.25">
      <c r="A22" s="326" t="s">
        <v>161</v>
      </c>
    </row>
    <row r="23" spans="1:1" x14ac:dyDescent="0.25">
      <c r="A23" s="326" t="s">
        <v>162</v>
      </c>
    </row>
    <row r="24" spans="1:1" x14ac:dyDescent="0.25">
      <c r="A24" s="326" t="s">
        <v>163</v>
      </c>
    </row>
    <row r="25" spans="1:1" x14ac:dyDescent="0.25">
      <c r="A25" s="326" t="s">
        <v>164</v>
      </c>
    </row>
    <row r="26" spans="1:1" x14ac:dyDescent="0.25">
      <c r="A26" s="326" t="s">
        <v>165</v>
      </c>
    </row>
    <row r="27" spans="1:1" x14ac:dyDescent="0.25">
      <c r="A27" s="326" t="s">
        <v>166</v>
      </c>
    </row>
    <row r="28" spans="1:1" x14ac:dyDescent="0.25">
      <c r="A28" s="326" t="s">
        <v>229</v>
      </c>
    </row>
    <row r="29" spans="1:1" x14ac:dyDescent="0.25">
      <c r="A29" s="326" t="s">
        <v>167</v>
      </c>
    </row>
    <row r="30" spans="1:1" x14ac:dyDescent="0.25">
      <c r="A30" s="326" t="s">
        <v>168</v>
      </c>
    </row>
    <row r="31" spans="1:1" x14ac:dyDescent="0.25">
      <c r="A31" s="326" t="s">
        <v>169</v>
      </c>
    </row>
    <row r="32" spans="1:1" x14ac:dyDescent="0.25">
      <c r="A32" s="326" t="s">
        <v>329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25"/>
  <dimension ref="A1:P24"/>
  <sheetViews>
    <sheetView showGridLines="0" workbookViewId="0">
      <selection activeCell="J14" sqref="J14"/>
    </sheetView>
  </sheetViews>
  <sheetFormatPr defaultColWidth="9.140625" defaultRowHeight="12.75" x14ac:dyDescent="0.2"/>
  <cols>
    <col min="1" max="1" width="12.140625" style="105" customWidth="1"/>
    <col min="2" max="2" width="2" style="105" bestFit="1" customWidth="1"/>
    <col min="3" max="3" width="12.7109375" style="105" customWidth="1"/>
    <col min="4" max="4" width="12" style="105" customWidth="1"/>
    <col min="5" max="5" width="2" style="105" bestFit="1" customWidth="1"/>
    <col min="6" max="6" width="12" style="105" customWidth="1"/>
    <col min="7" max="7" width="16.140625" style="105" customWidth="1"/>
    <col min="8" max="9" width="9.140625" style="105"/>
    <col min="10" max="10" width="18.140625" style="105" bestFit="1" customWidth="1"/>
    <col min="11" max="11" width="15.140625" style="105" customWidth="1"/>
    <col min="12" max="12" width="16.140625" style="105" customWidth="1"/>
    <col min="13" max="13" width="16.5703125" style="105" bestFit="1" customWidth="1"/>
    <col min="14" max="14" width="15.85546875" style="105" customWidth="1"/>
    <col min="15" max="16384" width="9.140625" style="105"/>
  </cols>
  <sheetData>
    <row r="1" spans="1:16" ht="14.25" x14ac:dyDescent="0.2">
      <c r="A1" s="926" t="s">
        <v>187</v>
      </c>
      <c r="B1" s="927"/>
      <c r="C1" s="927"/>
      <c r="D1" s="927"/>
      <c r="E1" s="927"/>
      <c r="F1" s="927"/>
      <c r="G1" s="928"/>
      <c r="H1" s="355"/>
      <c r="I1" s="355"/>
      <c r="J1" s="929" t="s">
        <v>188</v>
      </c>
      <c r="K1" s="929"/>
      <c r="L1" s="929"/>
      <c r="M1" s="929"/>
      <c r="N1" s="929"/>
      <c r="O1" s="355"/>
      <c r="P1" s="355"/>
    </row>
    <row r="2" spans="1:16" ht="15" x14ac:dyDescent="0.25">
      <c r="A2" s="930" t="s">
        <v>189</v>
      </c>
      <c r="B2" s="931"/>
      <c r="C2" s="931"/>
      <c r="D2" s="931"/>
      <c r="E2" s="931"/>
      <c r="F2" s="931"/>
      <c r="G2" s="356" t="s">
        <v>190</v>
      </c>
      <c r="M2" s="314"/>
    </row>
    <row r="3" spans="1:16" ht="15" x14ac:dyDescent="0.25">
      <c r="A3" s="932" t="s">
        <v>191</v>
      </c>
      <c r="B3" s="933"/>
      <c r="C3" s="933"/>
      <c r="D3" s="933" t="s">
        <v>19</v>
      </c>
      <c r="E3" s="933"/>
      <c r="F3" s="933"/>
      <c r="G3" s="357" t="s">
        <v>192</v>
      </c>
      <c r="M3" s="314"/>
    </row>
    <row r="4" spans="1:16" ht="15" x14ac:dyDescent="0.25">
      <c r="A4" s="358">
        <v>0.625</v>
      </c>
      <c r="B4" s="359" t="s">
        <v>193</v>
      </c>
      <c r="C4" s="360">
        <v>0.125</v>
      </c>
      <c r="D4" s="361">
        <f>A4*25.4</f>
        <v>15.875</v>
      </c>
      <c r="E4" s="362" t="s">
        <v>193</v>
      </c>
      <c r="F4" s="363">
        <f>C4*25.4</f>
        <v>3.1749999999999998</v>
      </c>
      <c r="G4" s="364">
        <v>0.71</v>
      </c>
      <c r="K4" s="365"/>
      <c r="M4" s="314"/>
    </row>
    <row r="5" spans="1:16" ht="15" x14ac:dyDescent="0.25">
      <c r="A5" s="366">
        <v>0.75</v>
      </c>
      <c r="B5" s="367" t="s">
        <v>193</v>
      </c>
      <c r="C5" s="368">
        <v>0.125</v>
      </c>
      <c r="D5" s="369">
        <f t="shared" ref="D5:D14" si="0">A5*25.4</f>
        <v>19.049999999999997</v>
      </c>
      <c r="E5" s="370" t="s">
        <v>193</v>
      </c>
      <c r="F5" s="371">
        <f t="shared" ref="F5:F14" si="1">C5*25.4</f>
        <v>3.1749999999999998</v>
      </c>
      <c r="G5" s="364">
        <v>0.86</v>
      </c>
      <c r="K5" s="365"/>
      <c r="M5" s="314"/>
    </row>
    <row r="6" spans="1:16" ht="15" x14ac:dyDescent="0.25">
      <c r="A6" s="366">
        <v>0.875</v>
      </c>
      <c r="B6" s="367" t="s">
        <v>193</v>
      </c>
      <c r="C6" s="368">
        <v>0.125</v>
      </c>
      <c r="D6" s="369">
        <f t="shared" si="0"/>
        <v>22.224999999999998</v>
      </c>
      <c r="E6" s="370" t="s">
        <v>193</v>
      </c>
      <c r="F6" s="371">
        <f>C6*25.4</f>
        <v>3.1749999999999998</v>
      </c>
      <c r="G6" s="364">
        <v>0.99</v>
      </c>
      <c r="K6" s="365"/>
      <c r="M6" s="314"/>
    </row>
    <row r="7" spans="1:16" ht="15" x14ac:dyDescent="0.25">
      <c r="A7" s="366">
        <v>1</v>
      </c>
      <c r="B7" s="367" t="s">
        <v>193</v>
      </c>
      <c r="C7" s="368">
        <v>0.125</v>
      </c>
      <c r="D7" s="369">
        <f t="shared" si="0"/>
        <v>25.4</v>
      </c>
      <c r="E7" s="370" t="s">
        <v>193</v>
      </c>
      <c r="F7" s="371">
        <f t="shared" si="1"/>
        <v>3.1749999999999998</v>
      </c>
      <c r="G7" s="364">
        <v>1.18</v>
      </c>
      <c r="K7" s="365"/>
      <c r="M7" s="314"/>
    </row>
    <row r="8" spans="1:16" ht="15" x14ac:dyDescent="0.25">
      <c r="A8" s="366">
        <v>1.25</v>
      </c>
      <c r="B8" s="367" t="s">
        <v>193</v>
      </c>
      <c r="C8" s="368">
        <v>0.125</v>
      </c>
      <c r="D8" s="369">
        <f t="shared" si="0"/>
        <v>31.75</v>
      </c>
      <c r="E8" s="370" t="s">
        <v>193</v>
      </c>
      <c r="F8" s="371">
        <f t="shared" si="1"/>
        <v>3.1749999999999998</v>
      </c>
      <c r="G8" s="364">
        <v>1.5</v>
      </c>
      <c r="K8" s="365"/>
      <c r="M8" s="314"/>
    </row>
    <row r="9" spans="1:16" ht="15" x14ac:dyDescent="0.25">
      <c r="A9" s="366">
        <v>1.5</v>
      </c>
      <c r="B9" s="367" t="s">
        <v>193</v>
      </c>
      <c r="C9" s="368">
        <v>0.125</v>
      </c>
      <c r="D9" s="369">
        <f t="shared" si="0"/>
        <v>38.099999999999994</v>
      </c>
      <c r="E9" s="370" t="s">
        <v>193</v>
      </c>
      <c r="F9" s="371">
        <f t="shared" si="1"/>
        <v>3.1749999999999998</v>
      </c>
      <c r="G9" s="364">
        <v>1.82</v>
      </c>
      <c r="K9" s="365"/>
      <c r="M9" s="314"/>
    </row>
    <row r="10" spans="1:16" ht="15" x14ac:dyDescent="0.25">
      <c r="A10" s="366">
        <v>1.25</v>
      </c>
      <c r="B10" s="367" t="s">
        <v>193</v>
      </c>
      <c r="C10" s="489">
        <v>0.1875</v>
      </c>
      <c r="D10" s="369">
        <f>A10*25.4</f>
        <v>31.75</v>
      </c>
      <c r="E10" s="370" t="s">
        <v>193</v>
      </c>
      <c r="F10" s="371">
        <f t="shared" si="1"/>
        <v>4.7624999999999993</v>
      </c>
      <c r="G10" s="364">
        <v>2.16</v>
      </c>
      <c r="J10" s="372"/>
      <c r="K10" s="365"/>
      <c r="M10" s="314"/>
    </row>
    <row r="11" spans="1:16" ht="15" x14ac:dyDescent="0.25">
      <c r="A11" s="366">
        <v>1.5</v>
      </c>
      <c r="B11" s="367" t="s">
        <v>193</v>
      </c>
      <c r="C11" s="489">
        <v>0.1875</v>
      </c>
      <c r="D11" s="369">
        <f t="shared" si="0"/>
        <v>38.099999999999994</v>
      </c>
      <c r="E11" s="370" t="s">
        <v>193</v>
      </c>
      <c r="F11" s="371">
        <f>C11*25.4</f>
        <v>4.7624999999999993</v>
      </c>
      <c r="G11" s="364">
        <v>2.65</v>
      </c>
      <c r="J11" s="372"/>
      <c r="K11" s="365"/>
      <c r="M11" s="314"/>
    </row>
    <row r="12" spans="1:16" ht="15.75" thickBot="1" x14ac:dyDescent="0.3">
      <c r="A12" s="366">
        <v>1.5</v>
      </c>
      <c r="B12" s="367" t="s">
        <v>193</v>
      </c>
      <c r="C12" s="368">
        <v>0.25</v>
      </c>
      <c r="D12" s="369">
        <f t="shared" si="0"/>
        <v>38.099999999999994</v>
      </c>
      <c r="E12" s="370" t="s">
        <v>193</v>
      </c>
      <c r="F12" s="371">
        <f t="shared" si="1"/>
        <v>6.35</v>
      </c>
      <c r="G12" s="364">
        <v>3.42</v>
      </c>
      <c r="J12" s="372"/>
      <c r="K12" s="365"/>
      <c r="M12" s="314"/>
    </row>
    <row r="13" spans="1:16" ht="18.75" x14ac:dyDescent="0.25">
      <c r="A13" s="366">
        <v>2</v>
      </c>
      <c r="B13" s="367" t="s">
        <v>193</v>
      </c>
      <c r="C13" s="368">
        <v>0.1875</v>
      </c>
      <c r="D13" s="369">
        <f t="shared" si="0"/>
        <v>50.8</v>
      </c>
      <c r="E13" s="370" t="s">
        <v>193</v>
      </c>
      <c r="F13" s="371">
        <f t="shared" si="1"/>
        <v>4.7624999999999993</v>
      </c>
      <c r="G13" s="364">
        <v>3.62</v>
      </c>
      <c r="J13" s="373" t="s">
        <v>194</v>
      </c>
      <c r="K13" s="374" t="s">
        <v>195</v>
      </c>
      <c r="L13" s="374" t="s">
        <v>196</v>
      </c>
      <c r="M13" s="374" t="s">
        <v>12</v>
      </c>
      <c r="N13" s="375" t="s">
        <v>197</v>
      </c>
    </row>
    <row r="14" spans="1:16" ht="19.5" thickBot="1" x14ac:dyDescent="0.3">
      <c r="A14" s="376">
        <v>2</v>
      </c>
      <c r="B14" s="377" t="s">
        <v>193</v>
      </c>
      <c r="C14" s="378">
        <v>0.25</v>
      </c>
      <c r="D14" s="379">
        <f t="shared" si="0"/>
        <v>50.8</v>
      </c>
      <c r="E14" s="380" t="s">
        <v>193</v>
      </c>
      <c r="F14" s="381">
        <f t="shared" si="1"/>
        <v>6.35</v>
      </c>
      <c r="G14" s="364">
        <v>4.74</v>
      </c>
      <c r="J14" s="382">
        <v>50.8</v>
      </c>
      <c r="K14" s="383">
        <v>50.8</v>
      </c>
      <c r="L14" s="383">
        <v>4.76</v>
      </c>
      <c r="M14" s="383">
        <v>6000</v>
      </c>
      <c r="N14" s="384">
        <f>IF(J14="","",IF(K14="","",IF(L14="","",ROUND((((J14+K14)*L14)*0.00761)*(M14/1000),2))))</f>
        <v>22.08</v>
      </c>
    </row>
    <row r="15" spans="1:16" x14ac:dyDescent="0.2">
      <c r="A15" s="385"/>
      <c r="B15" s="385"/>
      <c r="J15" s="350" t="s">
        <v>198</v>
      </c>
    </row>
    <row r="16" spans="1:16" x14ac:dyDescent="0.2">
      <c r="A16" s="385"/>
      <c r="B16" s="385"/>
      <c r="K16" s="365"/>
    </row>
    <row r="17" spans="1:2" x14ac:dyDescent="0.2">
      <c r="A17" s="385"/>
      <c r="B17" s="385"/>
    </row>
    <row r="18" spans="1:2" x14ac:dyDescent="0.2">
      <c r="A18" s="385"/>
      <c r="B18" s="385"/>
    </row>
    <row r="19" spans="1:2" x14ac:dyDescent="0.2">
      <c r="A19" s="385"/>
      <c r="B19" s="385"/>
    </row>
    <row r="20" spans="1:2" x14ac:dyDescent="0.2">
      <c r="A20" s="385"/>
      <c r="B20" s="385"/>
    </row>
    <row r="21" spans="1:2" x14ac:dyDescent="0.2">
      <c r="A21" s="385"/>
      <c r="B21" s="385"/>
    </row>
    <row r="22" spans="1:2" x14ac:dyDescent="0.2">
      <c r="A22" s="385"/>
      <c r="B22" s="385"/>
    </row>
    <row r="23" spans="1:2" x14ac:dyDescent="0.2">
      <c r="A23" s="385"/>
      <c r="B23" s="385"/>
    </row>
    <row r="24" spans="1:2" x14ac:dyDescent="0.2">
      <c r="A24" s="385"/>
      <c r="B24" s="385"/>
    </row>
  </sheetData>
  <sheetProtection password="921C" sheet="1" objects="1" scenarios="1" selectLockedCells="1"/>
  <mergeCells count="5">
    <mergeCell ref="A1:G1"/>
    <mergeCell ref="J1:N1"/>
    <mergeCell ref="A2:F2"/>
    <mergeCell ref="A3:C3"/>
    <mergeCell ref="D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27"/>
  <dimension ref="A1:O25"/>
  <sheetViews>
    <sheetView showGridLines="0" topLeftCell="B1" workbookViewId="0">
      <selection activeCell="K14" sqref="K14"/>
    </sheetView>
  </sheetViews>
  <sheetFormatPr defaultColWidth="9.140625" defaultRowHeight="12.75" x14ac:dyDescent="0.2"/>
  <cols>
    <col min="1" max="1" width="0" style="105" hidden="1" customWidth="1"/>
    <col min="2" max="2" width="9.140625" style="105"/>
    <col min="3" max="3" width="2" style="105" bestFit="1" customWidth="1"/>
    <col min="4" max="4" width="10.5703125" style="105" customWidth="1"/>
    <col min="5" max="5" width="9.42578125" style="105" customWidth="1"/>
    <col min="6" max="6" width="0" style="105" hidden="1" customWidth="1"/>
    <col min="7" max="7" width="19.5703125" style="105" customWidth="1"/>
    <col min="8" max="8" width="11.85546875" style="105" customWidth="1"/>
    <col min="9" max="10" width="9.140625" style="105"/>
    <col min="11" max="11" width="18.140625" style="105" bestFit="1" customWidth="1"/>
    <col min="12" max="12" width="14.7109375" style="105" customWidth="1"/>
    <col min="13" max="13" width="16.140625" style="105" customWidth="1"/>
    <col min="14" max="14" width="16.5703125" style="105" bestFit="1" customWidth="1"/>
    <col min="15" max="15" width="15.85546875" style="105" customWidth="1"/>
    <col min="16" max="16384" width="9.140625" style="105"/>
  </cols>
  <sheetData>
    <row r="1" spans="1:15" ht="14.25" x14ac:dyDescent="0.2">
      <c r="A1" s="934" t="s">
        <v>199</v>
      </c>
      <c r="B1" s="935"/>
      <c r="C1" s="935"/>
      <c r="D1" s="935"/>
      <c r="E1" s="935"/>
      <c r="F1" s="935"/>
      <c r="G1" s="935"/>
      <c r="H1" s="935"/>
      <c r="K1" s="929" t="s">
        <v>200</v>
      </c>
      <c r="L1" s="929"/>
      <c r="M1" s="929"/>
      <c r="N1" s="929"/>
      <c r="O1" s="929"/>
    </row>
    <row r="2" spans="1:15" ht="21" customHeight="1" x14ac:dyDescent="0.25">
      <c r="A2" s="386" t="s">
        <v>201</v>
      </c>
      <c r="B2" s="936" t="s">
        <v>202</v>
      </c>
      <c r="C2" s="936"/>
      <c r="D2" s="936"/>
      <c r="E2" s="387" t="s">
        <v>61</v>
      </c>
      <c r="F2" s="937" t="s">
        <v>203</v>
      </c>
      <c r="G2" s="938"/>
      <c r="H2" s="387" t="s">
        <v>190</v>
      </c>
    </row>
    <row r="3" spans="1:15" ht="15" x14ac:dyDescent="0.25">
      <c r="A3" s="386"/>
      <c r="B3" s="939" t="s">
        <v>204</v>
      </c>
      <c r="C3" s="939"/>
      <c r="D3" s="939"/>
      <c r="E3" s="388" t="s">
        <v>204</v>
      </c>
      <c r="F3" s="388" t="s">
        <v>204</v>
      </c>
      <c r="G3" s="388" t="s">
        <v>19</v>
      </c>
      <c r="H3" s="388" t="s">
        <v>205</v>
      </c>
    </row>
    <row r="4" spans="1:15" ht="15" x14ac:dyDescent="0.25">
      <c r="A4" s="389">
        <v>1</v>
      </c>
      <c r="B4" s="390">
        <v>3</v>
      </c>
      <c r="C4" s="391" t="s">
        <v>193</v>
      </c>
      <c r="D4" s="368">
        <v>1.5</v>
      </c>
      <c r="E4" s="392">
        <f>B4</f>
        <v>3</v>
      </c>
      <c r="F4" s="393">
        <v>0.17</v>
      </c>
      <c r="G4" s="364">
        <f>IF(F4="","",F4*25.4)</f>
        <v>4.3180000000000005</v>
      </c>
      <c r="H4" s="364">
        <v>6.1</v>
      </c>
    </row>
    <row r="5" spans="1:15" ht="15" x14ac:dyDescent="0.25">
      <c r="A5" s="389">
        <v>2</v>
      </c>
      <c r="B5" s="390">
        <v>3</v>
      </c>
      <c r="C5" s="391" t="s">
        <v>193</v>
      </c>
      <c r="D5" s="368">
        <v>1.5</v>
      </c>
      <c r="E5" s="392">
        <f t="shared" ref="E5:E25" si="0">B5</f>
        <v>3</v>
      </c>
      <c r="F5" s="393">
        <v>0.25800000000000001</v>
      </c>
      <c r="G5" s="364">
        <f t="shared" ref="G5:G25" si="1">IF(F5="","",F5*25.4)</f>
        <v>6.5531999999999995</v>
      </c>
      <c r="H5" s="364">
        <v>7.44</v>
      </c>
    </row>
    <row r="6" spans="1:15" ht="15" x14ac:dyDescent="0.25">
      <c r="A6" s="389">
        <v>3</v>
      </c>
      <c r="B6" s="390">
        <v>3</v>
      </c>
      <c r="C6" s="391" t="s">
        <v>193</v>
      </c>
      <c r="D6" s="368">
        <v>1.5</v>
      </c>
      <c r="E6" s="392">
        <f t="shared" si="0"/>
        <v>3</v>
      </c>
      <c r="F6" s="393">
        <v>0.35599999999999998</v>
      </c>
      <c r="G6" s="364">
        <f t="shared" si="1"/>
        <v>9.0423999999999989</v>
      </c>
      <c r="H6" s="364">
        <v>8.93</v>
      </c>
    </row>
    <row r="7" spans="1:15" ht="15" x14ac:dyDescent="0.25">
      <c r="A7" s="389">
        <v>1</v>
      </c>
      <c r="B7" s="390">
        <v>4</v>
      </c>
      <c r="C7" s="391" t="s">
        <v>193</v>
      </c>
      <c r="D7" s="368">
        <v>1.625</v>
      </c>
      <c r="E7" s="392">
        <f t="shared" si="0"/>
        <v>4</v>
      </c>
      <c r="F7" s="393">
        <v>0.18</v>
      </c>
      <c r="G7" s="364">
        <f t="shared" si="1"/>
        <v>4.5719999999999992</v>
      </c>
      <c r="H7" s="364">
        <v>8.0399999999999991</v>
      </c>
    </row>
    <row r="8" spans="1:15" ht="15" x14ac:dyDescent="0.25">
      <c r="A8" s="389">
        <v>2</v>
      </c>
      <c r="B8" s="390">
        <v>4</v>
      </c>
      <c r="C8" s="391" t="s">
        <v>193</v>
      </c>
      <c r="D8" s="368">
        <v>1.625</v>
      </c>
      <c r="E8" s="392">
        <f t="shared" si="0"/>
        <v>4</v>
      </c>
      <c r="F8" s="393">
        <v>0.247</v>
      </c>
      <c r="G8" s="364">
        <f t="shared" si="1"/>
        <v>6.2737999999999996</v>
      </c>
      <c r="H8" s="364">
        <v>9.3000000000000007</v>
      </c>
    </row>
    <row r="9" spans="1:15" ht="15" x14ac:dyDescent="0.25">
      <c r="A9" s="389">
        <v>3</v>
      </c>
      <c r="B9" s="390">
        <v>4</v>
      </c>
      <c r="C9" s="391" t="s">
        <v>193</v>
      </c>
      <c r="D9" s="368">
        <v>1.625</v>
      </c>
      <c r="E9" s="392">
        <f t="shared" si="0"/>
        <v>4</v>
      </c>
      <c r="F9" s="393">
        <v>0.32</v>
      </c>
      <c r="G9" s="364">
        <f t="shared" si="1"/>
        <v>8.1280000000000001</v>
      </c>
      <c r="H9" s="364">
        <v>10.79</v>
      </c>
    </row>
    <row r="10" spans="1:15" ht="15" x14ac:dyDescent="0.25">
      <c r="A10" s="389">
        <v>1</v>
      </c>
      <c r="B10" s="390">
        <v>6</v>
      </c>
      <c r="C10" s="391" t="s">
        <v>193</v>
      </c>
      <c r="D10" s="368">
        <v>2</v>
      </c>
      <c r="E10" s="392">
        <f t="shared" si="0"/>
        <v>6</v>
      </c>
      <c r="F10" s="393">
        <v>0.2</v>
      </c>
      <c r="G10" s="364">
        <f t="shared" si="1"/>
        <v>5.08</v>
      </c>
      <c r="H10" s="364">
        <v>12.2</v>
      </c>
    </row>
    <row r="11" spans="1:15" ht="15" x14ac:dyDescent="0.25">
      <c r="A11" s="389">
        <v>2</v>
      </c>
      <c r="B11" s="390">
        <v>6</v>
      </c>
      <c r="C11" s="391" t="s">
        <v>193</v>
      </c>
      <c r="D11" s="368">
        <v>2</v>
      </c>
      <c r="E11" s="392">
        <f t="shared" si="0"/>
        <v>6</v>
      </c>
      <c r="F11" s="393">
        <v>0.314</v>
      </c>
      <c r="G11" s="364">
        <f t="shared" si="1"/>
        <v>7.9756</v>
      </c>
      <c r="H11" s="364">
        <v>15.63</v>
      </c>
    </row>
    <row r="12" spans="1:15" ht="15.75" thickBot="1" x14ac:dyDescent="0.3">
      <c r="A12" s="389">
        <v>3</v>
      </c>
      <c r="B12" s="390">
        <v>6</v>
      </c>
      <c r="C12" s="391" t="s">
        <v>193</v>
      </c>
      <c r="D12" s="368">
        <v>2</v>
      </c>
      <c r="E12" s="392">
        <f t="shared" si="0"/>
        <v>6</v>
      </c>
      <c r="F12" s="393">
        <v>0.437</v>
      </c>
      <c r="G12" s="364">
        <f t="shared" si="1"/>
        <v>11.0998</v>
      </c>
      <c r="H12" s="364">
        <v>19.350000000000001</v>
      </c>
    </row>
    <row r="13" spans="1:15" ht="18.75" x14ac:dyDescent="0.25">
      <c r="A13" s="389">
        <v>4</v>
      </c>
      <c r="B13" s="390">
        <v>6</v>
      </c>
      <c r="C13" s="391" t="s">
        <v>193</v>
      </c>
      <c r="D13" s="368">
        <v>2</v>
      </c>
      <c r="E13" s="392">
        <f t="shared" si="0"/>
        <v>6</v>
      </c>
      <c r="F13" s="393">
        <v>0.55900000000000005</v>
      </c>
      <c r="G13" s="364">
        <f t="shared" si="1"/>
        <v>14.198600000000001</v>
      </c>
      <c r="H13" s="364">
        <v>23.07</v>
      </c>
      <c r="K13" s="373" t="s">
        <v>206</v>
      </c>
      <c r="L13" s="374" t="s">
        <v>207</v>
      </c>
      <c r="M13" s="374" t="s">
        <v>208</v>
      </c>
      <c r="N13" s="374" t="s">
        <v>12</v>
      </c>
      <c r="O13" s="375" t="s">
        <v>197</v>
      </c>
    </row>
    <row r="14" spans="1:15" ht="19.5" thickBot="1" x14ac:dyDescent="0.3">
      <c r="A14" s="389">
        <v>1</v>
      </c>
      <c r="B14" s="394">
        <v>8</v>
      </c>
      <c r="C14" s="395" t="s">
        <v>193</v>
      </c>
      <c r="D14" s="396">
        <v>2.25</v>
      </c>
      <c r="E14" s="392">
        <f t="shared" si="0"/>
        <v>8</v>
      </c>
      <c r="F14" s="393">
        <v>0.22</v>
      </c>
      <c r="G14" s="364">
        <f t="shared" si="1"/>
        <v>5.5880000000000001</v>
      </c>
      <c r="H14" s="364">
        <v>17.11</v>
      </c>
      <c r="K14" s="382">
        <v>38.1</v>
      </c>
      <c r="L14" s="383">
        <v>76.2</v>
      </c>
      <c r="M14" s="383">
        <v>4.32</v>
      </c>
      <c r="N14" s="383">
        <v>1000</v>
      </c>
      <c r="O14" s="384">
        <f>IF(K14="","",IF(L14="","",IF(M14="","",ROUND(((((K14*2)+(L14))*M14)*(N14/1000)*0.0095524),2))))</f>
        <v>6.29</v>
      </c>
    </row>
    <row r="15" spans="1:15" ht="15" x14ac:dyDescent="0.25">
      <c r="A15" s="389">
        <v>2</v>
      </c>
      <c r="B15" s="397">
        <v>8</v>
      </c>
      <c r="C15" s="398" t="s">
        <v>193</v>
      </c>
      <c r="D15" s="399">
        <v>2.25</v>
      </c>
      <c r="E15" s="392">
        <f t="shared" si="0"/>
        <v>8</v>
      </c>
      <c r="F15" s="393">
        <v>0.30299999999999999</v>
      </c>
      <c r="G15" s="364">
        <f t="shared" si="1"/>
        <v>7.6961999999999993</v>
      </c>
      <c r="H15" s="364">
        <v>20.46</v>
      </c>
      <c r="K15" s="350" t="s">
        <v>198</v>
      </c>
      <c r="L15" s="350"/>
      <c r="M15" s="350"/>
      <c r="N15" s="350"/>
      <c r="O15" s="350"/>
    </row>
    <row r="16" spans="1:15" ht="15" x14ac:dyDescent="0.25">
      <c r="A16" s="389">
        <v>3</v>
      </c>
      <c r="B16" s="397">
        <v>8</v>
      </c>
      <c r="C16" s="398" t="s">
        <v>193</v>
      </c>
      <c r="D16" s="399">
        <v>2.25</v>
      </c>
      <c r="E16" s="392">
        <f t="shared" si="0"/>
        <v>8</v>
      </c>
      <c r="F16" s="393">
        <v>0.39500000000000002</v>
      </c>
      <c r="G16" s="364">
        <f t="shared" si="1"/>
        <v>10.032999999999999</v>
      </c>
      <c r="H16" s="364">
        <v>24.18</v>
      </c>
    </row>
    <row r="17" spans="1:8" ht="15" x14ac:dyDescent="0.25">
      <c r="A17" s="389">
        <v>4</v>
      </c>
      <c r="B17" s="390">
        <v>8</v>
      </c>
      <c r="C17" s="391" t="s">
        <v>193</v>
      </c>
      <c r="D17" s="368">
        <v>2.25</v>
      </c>
      <c r="E17" s="392">
        <f t="shared" si="0"/>
        <v>8</v>
      </c>
      <c r="F17" s="393">
        <v>0.48699999999999999</v>
      </c>
      <c r="G17" s="364">
        <f t="shared" si="1"/>
        <v>12.3698</v>
      </c>
      <c r="H17" s="364">
        <v>27.9</v>
      </c>
    </row>
    <row r="18" spans="1:8" ht="15" x14ac:dyDescent="0.25">
      <c r="A18" s="389">
        <v>1</v>
      </c>
      <c r="B18" s="390">
        <v>10</v>
      </c>
      <c r="C18" s="391" t="s">
        <v>193</v>
      </c>
      <c r="D18" s="368">
        <v>2.625</v>
      </c>
      <c r="E18" s="392">
        <f t="shared" si="0"/>
        <v>10</v>
      </c>
      <c r="F18" s="393">
        <v>0.24</v>
      </c>
      <c r="G18" s="364">
        <f t="shared" si="1"/>
        <v>6.0959999999999992</v>
      </c>
      <c r="H18" s="364">
        <v>22.77</v>
      </c>
    </row>
    <row r="19" spans="1:8" ht="15" x14ac:dyDescent="0.25">
      <c r="A19" s="389">
        <v>2</v>
      </c>
      <c r="B19" s="390">
        <v>10</v>
      </c>
      <c r="C19" s="391" t="s">
        <v>193</v>
      </c>
      <c r="D19" s="368">
        <v>2.625</v>
      </c>
      <c r="E19" s="392">
        <f t="shared" si="0"/>
        <v>10</v>
      </c>
      <c r="F19" s="393">
        <v>0.379</v>
      </c>
      <c r="G19" s="364">
        <f t="shared" si="1"/>
        <v>9.6265999999999998</v>
      </c>
      <c r="H19" s="364">
        <v>29.76</v>
      </c>
    </row>
    <row r="20" spans="1:8" ht="15" x14ac:dyDescent="0.25">
      <c r="A20" s="389">
        <v>3</v>
      </c>
      <c r="B20" s="390">
        <v>10</v>
      </c>
      <c r="C20" s="391" t="s">
        <v>193</v>
      </c>
      <c r="D20" s="368">
        <v>2.625</v>
      </c>
      <c r="E20" s="392">
        <f t="shared" si="0"/>
        <v>10</v>
      </c>
      <c r="F20" s="393">
        <v>0.52600000000000002</v>
      </c>
      <c r="G20" s="364">
        <f t="shared" si="1"/>
        <v>13.3604</v>
      </c>
      <c r="H20" s="364">
        <v>37.200000000000003</v>
      </c>
    </row>
    <row r="21" spans="1:8" ht="15" x14ac:dyDescent="0.25">
      <c r="A21" s="389">
        <v>4</v>
      </c>
      <c r="B21" s="390">
        <v>10</v>
      </c>
      <c r="C21" s="391" t="s">
        <v>193</v>
      </c>
      <c r="D21" s="368">
        <v>2.625</v>
      </c>
      <c r="E21" s="392">
        <f t="shared" si="0"/>
        <v>10</v>
      </c>
      <c r="F21" s="393">
        <v>0.63700000000000001</v>
      </c>
      <c r="G21" s="364">
        <f t="shared" si="1"/>
        <v>16.1798</v>
      </c>
      <c r="H21" s="364">
        <v>44.65</v>
      </c>
    </row>
    <row r="22" spans="1:8" ht="15" x14ac:dyDescent="0.25">
      <c r="A22" s="389">
        <v>1</v>
      </c>
      <c r="B22" s="390">
        <v>12</v>
      </c>
      <c r="C22" s="391" t="s">
        <v>193</v>
      </c>
      <c r="D22" s="368">
        <v>3</v>
      </c>
      <c r="E22" s="392">
        <f t="shared" si="0"/>
        <v>12</v>
      </c>
      <c r="F22" s="393">
        <v>0.28000000000000003</v>
      </c>
      <c r="G22" s="364">
        <f t="shared" si="1"/>
        <v>7.1120000000000001</v>
      </c>
      <c r="H22" s="364">
        <v>30.81</v>
      </c>
    </row>
    <row r="23" spans="1:8" ht="15" x14ac:dyDescent="0.25">
      <c r="A23" s="389">
        <v>2</v>
      </c>
      <c r="B23" s="390">
        <v>12</v>
      </c>
      <c r="C23" s="391" t="s">
        <v>193</v>
      </c>
      <c r="D23" s="368">
        <v>3</v>
      </c>
      <c r="E23" s="392">
        <f t="shared" si="0"/>
        <v>12</v>
      </c>
      <c r="F23" s="393">
        <v>0.38700000000000001</v>
      </c>
      <c r="G23" s="364">
        <f t="shared" si="1"/>
        <v>9.8298000000000005</v>
      </c>
      <c r="H23" s="364">
        <v>37.200000000000003</v>
      </c>
    </row>
    <row r="24" spans="1:8" ht="15" x14ac:dyDescent="0.25">
      <c r="A24" s="389">
        <v>3</v>
      </c>
      <c r="B24" s="394">
        <v>12</v>
      </c>
      <c r="C24" s="395" t="s">
        <v>193</v>
      </c>
      <c r="D24" s="396">
        <v>3</v>
      </c>
      <c r="E24" s="392">
        <f t="shared" si="0"/>
        <v>12</v>
      </c>
      <c r="F24" s="393">
        <v>0.51</v>
      </c>
      <c r="G24" s="364">
        <f t="shared" si="1"/>
        <v>12.953999999999999</v>
      </c>
      <c r="H24" s="364">
        <v>44.65</v>
      </c>
    </row>
    <row r="25" spans="1:8" ht="15" x14ac:dyDescent="0.25">
      <c r="A25" s="389">
        <v>4</v>
      </c>
      <c r="B25" s="390">
        <v>12</v>
      </c>
      <c r="C25" s="391" t="s">
        <v>193</v>
      </c>
      <c r="D25" s="368">
        <v>3</v>
      </c>
      <c r="E25" s="392">
        <f t="shared" si="0"/>
        <v>12</v>
      </c>
      <c r="F25" s="393">
        <v>0.63200000000000001</v>
      </c>
      <c r="G25" s="364">
        <f t="shared" si="1"/>
        <v>16.052799999999998</v>
      </c>
      <c r="H25" s="364">
        <v>52.09</v>
      </c>
    </row>
  </sheetData>
  <sheetProtection password="921C" sheet="1" objects="1" scenarios="1" selectLockedCells="1"/>
  <mergeCells count="5">
    <mergeCell ref="A1:H1"/>
    <mergeCell ref="K1:O1"/>
    <mergeCell ref="B2:D2"/>
    <mergeCell ref="F2:G2"/>
    <mergeCell ref="B3:D3"/>
  </mergeCells>
  <pageMargins left="0.511811024" right="0.511811024" top="0.78740157499999996" bottom="0.78740157499999996" header="0.31496062000000002" footer="0.3149606200000000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29"/>
  <dimension ref="A1:R31"/>
  <sheetViews>
    <sheetView showGridLines="0" topLeftCell="B1" workbookViewId="0">
      <selection activeCell="K14" sqref="K14"/>
    </sheetView>
  </sheetViews>
  <sheetFormatPr defaultColWidth="9.140625" defaultRowHeight="12.75" x14ac:dyDescent="0.2"/>
  <cols>
    <col min="1" max="1" width="5.28515625" style="105" hidden="1" customWidth="1"/>
    <col min="2" max="2" width="11.5703125" style="105" customWidth="1"/>
    <col min="3" max="3" width="2.140625" style="105" customWidth="1"/>
    <col min="4" max="4" width="13.42578125" style="105" customWidth="1"/>
    <col min="5" max="5" width="9.140625" style="105"/>
    <col min="6" max="6" width="0" style="105" hidden="1" customWidth="1"/>
    <col min="7" max="7" width="17.28515625" style="105" customWidth="1"/>
    <col min="8" max="8" width="11.140625" style="105" bestFit="1" customWidth="1"/>
    <col min="9" max="10" width="9.140625" style="105"/>
    <col min="11" max="11" width="18.140625" style="105" bestFit="1" customWidth="1"/>
    <col min="12" max="12" width="11.7109375" style="105" bestFit="1" customWidth="1"/>
    <col min="13" max="13" width="16.140625" style="105" customWidth="1"/>
    <col min="14" max="14" width="16.5703125" style="105" bestFit="1" customWidth="1"/>
    <col min="15" max="15" width="15.85546875" style="105" customWidth="1"/>
    <col min="16" max="16384" width="9.140625" style="105"/>
  </cols>
  <sheetData>
    <row r="1" spans="1:18" ht="22.5" customHeight="1" x14ac:dyDescent="0.2">
      <c r="A1" s="934" t="s">
        <v>209</v>
      </c>
      <c r="B1" s="935"/>
      <c r="C1" s="935"/>
      <c r="D1" s="935"/>
      <c r="E1" s="935"/>
      <c r="F1" s="935"/>
      <c r="G1" s="935"/>
      <c r="H1" s="935"/>
      <c r="I1" s="400"/>
      <c r="J1" s="400"/>
      <c r="K1" s="929" t="s">
        <v>210</v>
      </c>
      <c r="L1" s="929"/>
      <c r="M1" s="929"/>
      <c r="N1" s="929"/>
      <c r="O1" s="929"/>
      <c r="P1" s="400"/>
      <c r="Q1" s="400"/>
      <c r="R1" s="400"/>
    </row>
    <row r="2" spans="1:18" ht="21" customHeight="1" x14ac:dyDescent="0.25">
      <c r="A2" s="386" t="s">
        <v>201</v>
      </c>
      <c r="B2" s="936" t="s">
        <v>202</v>
      </c>
      <c r="C2" s="936"/>
      <c r="D2" s="936"/>
      <c r="E2" s="387" t="s">
        <v>61</v>
      </c>
      <c r="F2" s="387" t="s">
        <v>203</v>
      </c>
      <c r="G2" s="387" t="s">
        <v>203</v>
      </c>
      <c r="H2" s="387" t="s">
        <v>190</v>
      </c>
    </row>
    <row r="3" spans="1:18" ht="14.25" customHeight="1" x14ac:dyDescent="0.25">
      <c r="A3" s="386"/>
      <c r="B3" s="939" t="s">
        <v>204</v>
      </c>
      <c r="C3" s="939"/>
      <c r="D3" s="939"/>
      <c r="E3" s="388" t="s">
        <v>204</v>
      </c>
      <c r="F3" s="388" t="s">
        <v>204</v>
      </c>
      <c r="G3" s="388" t="s">
        <v>19</v>
      </c>
      <c r="H3" s="388" t="s">
        <v>205</v>
      </c>
    </row>
    <row r="4" spans="1:18" ht="15" x14ac:dyDescent="0.25">
      <c r="A4" s="389">
        <v>1</v>
      </c>
      <c r="B4" s="390">
        <v>3</v>
      </c>
      <c r="C4" s="391" t="s">
        <v>193</v>
      </c>
      <c r="D4" s="368">
        <v>2.375</v>
      </c>
      <c r="E4" s="392">
        <f>B4</f>
        <v>3</v>
      </c>
      <c r="F4" s="364">
        <v>0.17</v>
      </c>
      <c r="G4" s="393">
        <f>IF(F4="","",F4*25.4)</f>
        <v>4.3180000000000005</v>
      </c>
      <c r="H4" s="364">
        <v>8.48</v>
      </c>
    </row>
    <row r="5" spans="1:18" ht="15" x14ac:dyDescent="0.25">
      <c r="A5" s="389">
        <v>2</v>
      </c>
      <c r="B5" s="390">
        <v>3</v>
      </c>
      <c r="C5" s="391" t="s">
        <v>193</v>
      </c>
      <c r="D5" s="368">
        <v>2.375</v>
      </c>
      <c r="E5" s="392">
        <f t="shared" ref="E5:E28" si="0">B5</f>
        <v>3</v>
      </c>
      <c r="F5" s="364">
        <v>0.251</v>
      </c>
      <c r="G5" s="393">
        <f t="shared" ref="G5:G28" si="1">IF(F5="","",F5*25.4)</f>
        <v>6.3754</v>
      </c>
      <c r="H5" s="364">
        <v>9.67</v>
      </c>
    </row>
    <row r="6" spans="1:18" ht="15" x14ac:dyDescent="0.25">
      <c r="A6" s="389">
        <v>3</v>
      </c>
      <c r="B6" s="390">
        <v>3</v>
      </c>
      <c r="C6" s="391" t="s">
        <v>193</v>
      </c>
      <c r="D6" s="368">
        <v>2.375</v>
      </c>
      <c r="E6" s="392">
        <f t="shared" si="0"/>
        <v>3</v>
      </c>
      <c r="F6" s="364">
        <v>0.34899999999999998</v>
      </c>
      <c r="G6" s="393">
        <f t="shared" si="1"/>
        <v>8.8645999999999994</v>
      </c>
      <c r="H6" s="364">
        <v>19.16</v>
      </c>
    </row>
    <row r="7" spans="1:18" ht="15" x14ac:dyDescent="0.25">
      <c r="A7" s="389">
        <v>1</v>
      </c>
      <c r="B7" s="390">
        <v>4</v>
      </c>
      <c r="C7" s="391" t="s">
        <v>193</v>
      </c>
      <c r="D7" s="368">
        <v>2.625</v>
      </c>
      <c r="E7" s="392">
        <f t="shared" si="0"/>
        <v>4</v>
      </c>
      <c r="F7" s="364">
        <v>0.19</v>
      </c>
      <c r="G7" s="393">
        <f t="shared" si="1"/>
        <v>4.8259999999999996</v>
      </c>
      <c r="H7" s="364">
        <v>11.46</v>
      </c>
    </row>
    <row r="8" spans="1:18" ht="15" x14ac:dyDescent="0.25">
      <c r="A8" s="389">
        <v>2</v>
      </c>
      <c r="B8" s="390">
        <v>4</v>
      </c>
      <c r="C8" s="391" t="s">
        <v>193</v>
      </c>
      <c r="D8" s="368">
        <v>2.625</v>
      </c>
      <c r="E8" s="392">
        <f t="shared" si="0"/>
        <v>4</v>
      </c>
      <c r="F8" s="364">
        <v>0.253</v>
      </c>
      <c r="G8" s="393">
        <f t="shared" si="1"/>
        <v>6.4261999999999997</v>
      </c>
      <c r="H8" s="364">
        <v>12.65</v>
      </c>
    </row>
    <row r="9" spans="1:18" ht="15" x14ac:dyDescent="0.25">
      <c r="A9" s="389">
        <v>3</v>
      </c>
      <c r="B9" s="390">
        <v>4</v>
      </c>
      <c r="C9" s="391" t="s">
        <v>193</v>
      </c>
      <c r="D9" s="368">
        <v>2.625</v>
      </c>
      <c r="E9" s="392">
        <f t="shared" si="0"/>
        <v>4</v>
      </c>
      <c r="F9" s="364">
        <v>0.32600000000000001</v>
      </c>
      <c r="G9" s="393">
        <f t="shared" si="1"/>
        <v>8.2804000000000002</v>
      </c>
      <c r="H9" s="364">
        <v>14.14</v>
      </c>
    </row>
    <row r="10" spans="1:18" ht="15" x14ac:dyDescent="0.25">
      <c r="A10" s="389">
        <v>4</v>
      </c>
      <c r="B10" s="390">
        <v>4</v>
      </c>
      <c r="C10" s="391" t="s">
        <v>193</v>
      </c>
      <c r="D10" s="368">
        <v>2.625</v>
      </c>
      <c r="E10" s="392">
        <f t="shared" si="0"/>
        <v>4</v>
      </c>
      <c r="F10" s="364">
        <v>0.4</v>
      </c>
      <c r="G10" s="393">
        <f t="shared" si="1"/>
        <v>10.16</v>
      </c>
      <c r="H10" s="364">
        <v>15.63</v>
      </c>
    </row>
    <row r="11" spans="1:18" ht="15" x14ac:dyDescent="0.25">
      <c r="A11" s="389">
        <v>1</v>
      </c>
      <c r="B11" s="390">
        <v>5</v>
      </c>
      <c r="C11" s="391" t="s">
        <v>193</v>
      </c>
      <c r="D11" s="368">
        <v>3</v>
      </c>
      <c r="E11" s="392">
        <f t="shared" si="0"/>
        <v>5</v>
      </c>
      <c r="F11" s="364">
        <v>0.21</v>
      </c>
      <c r="G11" s="393">
        <f t="shared" si="1"/>
        <v>5.3339999999999996</v>
      </c>
      <c r="H11" s="364">
        <v>14.88</v>
      </c>
    </row>
    <row r="12" spans="1:18" ht="15.75" thickBot="1" x14ac:dyDescent="0.3">
      <c r="A12" s="389">
        <v>2</v>
      </c>
      <c r="B12" s="390">
        <v>5</v>
      </c>
      <c r="C12" s="391" t="s">
        <v>193</v>
      </c>
      <c r="D12" s="368">
        <v>3</v>
      </c>
      <c r="E12" s="392">
        <f t="shared" si="0"/>
        <v>5</v>
      </c>
      <c r="F12" s="364">
        <v>0.34699999999999998</v>
      </c>
      <c r="G12" s="393">
        <f t="shared" si="1"/>
        <v>8.8137999999999987</v>
      </c>
      <c r="H12" s="364">
        <v>18.23</v>
      </c>
    </row>
    <row r="13" spans="1:18" ht="18.75" x14ac:dyDescent="0.25">
      <c r="A13" s="389">
        <v>3</v>
      </c>
      <c r="B13" s="390">
        <v>5</v>
      </c>
      <c r="C13" s="391" t="s">
        <v>193</v>
      </c>
      <c r="D13" s="368">
        <v>3</v>
      </c>
      <c r="E13" s="392">
        <f t="shared" si="0"/>
        <v>5</v>
      </c>
      <c r="F13" s="364">
        <v>0.49399999999999999</v>
      </c>
      <c r="G13" s="393">
        <f t="shared" si="1"/>
        <v>12.547599999999999</v>
      </c>
      <c r="H13" s="364">
        <v>21.95</v>
      </c>
      <c r="K13" s="373" t="s">
        <v>211</v>
      </c>
      <c r="L13" s="374" t="s">
        <v>207</v>
      </c>
      <c r="M13" s="374" t="s">
        <v>208</v>
      </c>
      <c r="N13" s="374" t="s">
        <v>12</v>
      </c>
      <c r="O13" s="375" t="s">
        <v>197</v>
      </c>
    </row>
    <row r="14" spans="1:18" ht="19.5" thickBot="1" x14ac:dyDescent="0.3">
      <c r="A14" s="389">
        <v>1</v>
      </c>
      <c r="B14" s="394">
        <v>6</v>
      </c>
      <c r="C14" s="395" t="s">
        <v>193</v>
      </c>
      <c r="D14" s="396">
        <v>3.375</v>
      </c>
      <c r="E14" s="392">
        <f t="shared" si="0"/>
        <v>6</v>
      </c>
      <c r="F14" s="364">
        <v>0.23</v>
      </c>
      <c r="G14" s="393">
        <f t="shared" si="1"/>
        <v>5.8419999999999996</v>
      </c>
      <c r="H14" s="364">
        <v>18.600000000000001</v>
      </c>
      <c r="K14" s="382">
        <v>59.18</v>
      </c>
      <c r="L14" s="383">
        <v>76.2</v>
      </c>
      <c r="M14" s="383">
        <v>4.32</v>
      </c>
      <c r="N14" s="383">
        <v>1000</v>
      </c>
      <c r="O14" s="384">
        <f>IF(K14="","",IF(L14="","",IF(M14="","",ROUND(((((K14*2)+(L14))*M14)*(N14/1000)*0.0100892),2))))</f>
        <v>8.48</v>
      </c>
    </row>
    <row r="15" spans="1:18" ht="15" x14ac:dyDescent="0.25">
      <c r="A15" s="389">
        <v>2</v>
      </c>
      <c r="B15" s="397">
        <v>6</v>
      </c>
      <c r="C15" s="398" t="s">
        <v>193</v>
      </c>
      <c r="D15" s="399">
        <v>3.375</v>
      </c>
      <c r="E15" s="392">
        <f t="shared" si="0"/>
        <v>6</v>
      </c>
      <c r="F15" s="364">
        <v>0.34300000000000003</v>
      </c>
      <c r="G15" s="393">
        <f t="shared" si="1"/>
        <v>8.7122000000000011</v>
      </c>
      <c r="H15" s="364">
        <v>21.95</v>
      </c>
      <c r="K15" s="350" t="s">
        <v>198</v>
      </c>
    </row>
    <row r="16" spans="1:18" ht="15" x14ac:dyDescent="0.25">
      <c r="A16" s="389">
        <v>3</v>
      </c>
      <c r="B16" s="397">
        <v>6</v>
      </c>
      <c r="C16" s="398" t="s">
        <v>193</v>
      </c>
      <c r="D16" s="399">
        <v>3.375</v>
      </c>
      <c r="E16" s="392">
        <f t="shared" si="0"/>
        <v>6</v>
      </c>
      <c r="F16" s="364">
        <v>0.46500000000000002</v>
      </c>
      <c r="G16" s="393">
        <f t="shared" si="1"/>
        <v>11.811</v>
      </c>
      <c r="H16" s="364">
        <v>25.67</v>
      </c>
    </row>
    <row r="17" spans="1:8" ht="15" x14ac:dyDescent="0.25">
      <c r="A17" s="389">
        <v>1</v>
      </c>
      <c r="B17" s="390">
        <v>8</v>
      </c>
      <c r="C17" s="391" t="s">
        <v>193</v>
      </c>
      <c r="D17" s="368">
        <v>4</v>
      </c>
      <c r="E17" s="392">
        <f t="shared" si="0"/>
        <v>8</v>
      </c>
      <c r="F17" s="364">
        <v>0.27</v>
      </c>
      <c r="G17" s="393">
        <f t="shared" si="1"/>
        <v>6.8579999999999997</v>
      </c>
      <c r="H17" s="364">
        <v>27.38</v>
      </c>
    </row>
    <row r="18" spans="1:8" ht="15" x14ac:dyDescent="0.25">
      <c r="A18" s="389">
        <v>2</v>
      </c>
      <c r="B18" s="390">
        <v>8</v>
      </c>
      <c r="C18" s="391" t="s">
        <v>193</v>
      </c>
      <c r="D18" s="368">
        <v>4</v>
      </c>
      <c r="E18" s="392">
        <f t="shared" si="0"/>
        <v>8</v>
      </c>
      <c r="F18" s="364">
        <v>0.34899999999999998</v>
      </c>
      <c r="G18" s="393">
        <f t="shared" si="1"/>
        <v>8.8645999999999994</v>
      </c>
      <c r="H18" s="364">
        <v>30.5</v>
      </c>
    </row>
    <row r="19" spans="1:8" ht="15" x14ac:dyDescent="0.25">
      <c r="A19" s="389">
        <v>3</v>
      </c>
      <c r="B19" s="390">
        <v>8</v>
      </c>
      <c r="C19" s="391" t="s">
        <v>193</v>
      </c>
      <c r="D19" s="368">
        <v>4</v>
      </c>
      <c r="E19" s="392">
        <f t="shared" si="0"/>
        <v>8</v>
      </c>
      <c r="F19" s="364">
        <v>0.441</v>
      </c>
      <c r="G19" s="393">
        <f t="shared" si="1"/>
        <v>11.2014</v>
      </c>
      <c r="H19" s="364">
        <v>34.22</v>
      </c>
    </row>
    <row r="20" spans="1:8" ht="15" x14ac:dyDescent="0.25">
      <c r="A20" s="389">
        <v>4</v>
      </c>
      <c r="B20" s="390">
        <v>8</v>
      </c>
      <c r="C20" s="391" t="s">
        <v>193</v>
      </c>
      <c r="D20" s="368">
        <v>4</v>
      </c>
      <c r="E20" s="392">
        <f t="shared" si="0"/>
        <v>8</v>
      </c>
      <c r="F20" s="364">
        <v>0.53200000000000003</v>
      </c>
      <c r="G20" s="393">
        <f t="shared" si="1"/>
        <v>13.5128</v>
      </c>
      <c r="H20" s="364">
        <v>37.97</v>
      </c>
    </row>
    <row r="21" spans="1:8" ht="15" x14ac:dyDescent="0.25">
      <c r="A21" s="389">
        <v>1</v>
      </c>
      <c r="B21" s="390">
        <v>10</v>
      </c>
      <c r="C21" s="391" t="s">
        <v>193</v>
      </c>
      <c r="D21" s="368">
        <v>4.625</v>
      </c>
      <c r="E21" s="392">
        <f t="shared" si="0"/>
        <v>10</v>
      </c>
      <c r="F21" s="364">
        <v>0.31</v>
      </c>
      <c r="G21" s="393">
        <f t="shared" si="1"/>
        <v>7.8739999999999997</v>
      </c>
      <c r="H21" s="364">
        <v>37.799999999999997</v>
      </c>
    </row>
    <row r="22" spans="1:8" ht="15" x14ac:dyDescent="0.25">
      <c r="A22" s="389">
        <v>2</v>
      </c>
      <c r="B22" s="390">
        <v>10</v>
      </c>
      <c r="C22" s="391" t="s">
        <v>193</v>
      </c>
      <c r="D22" s="368">
        <v>4.625</v>
      </c>
      <c r="E22" s="392">
        <f t="shared" si="0"/>
        <v>10</v>
      </c>
      <c r="F22" s="364">
        <v>0.44700000000000001</v>
      </c>
      <c r="G22" s="393">
        <f t="shared" si="1"/>
        <v>11.3538</v>
      </c>
      <c r="H22" s="364">
        <v>44.65</v>
      </c>
    </row>
    <row r="23" spans="1:8" ht="15" x14ac:dyDescent="0.25">
      <c r="A23" s="389">
        <v>3</v>
      </c>
      <c r="B23" s="390">
        <v>10</v>
      </c>
      <c r="C23" s="391" t="s">
        <v>193</v>
      </c>
      <c r="D23" s="368">
        <v>4.625</v>
      </c>
      <c r="E23" s="392">
        <f t="shared" si="0"/>
        <v>10</v>
      </c>
      <c r="F23" s="364">
        <v>0.59399999999999997</v>
      </c>
      <c r="G23" s="393">
        <f t="shared" si="1"/>
        <v>15.087599999999998</v>
      </c>
      <c r="H23" s="364">
        <v>52.09</v>
      </c>
    </row>
    <row r="24" spans="1:8" ht="15" x14ac:dyDescent="0.25">
      <c r="A24" s="389">
        <v>4</v>
      </c>
      <c r="B24" s="394">
        <v>10</v>
      </c>
      <c r="C24" s="395" t="s">
        <v>193</v>
      </c>
      <c r="D24" s="396">
        <v>4.625</v>
      </c>
      <c r="E24" s="392">
        <f t="shared" si="0"/>
        <v>10</v>
      </c>
      <c r="F24" s="364">
        <v>0.74099999999999999</v>
      </c>
      <c r="G24" s="393">
        <f t="shared" si="1"/>
        <v>18.821399999999997</v>
      </c>
      <c r="H24" s="364">
        <v>59.53</v>
      </c>
    </row>
    <row r="25" spans="1:8" ht="15" x14ac:dyDescent="0.25">
      <c r="A25" s="389">
        <v>1</v>
      </c>
      <c r="B25" s="390">
        <v>12</v>
      </c>
      <c r="C25" s="391" t="s">
        <v>193</v>
      </c>
      <c r="D25" s="368">
        <v>5.25</v>
      </c>
      <c r="E25" s="392">
        <f t="shared" si="0"/>
        <v>12</v>
      </c>
      <c r="F25" s="364">
        <v>0.46</v>
      </c>
      <c r="G25" s="393">
        <f t="shared" si="1"/>
        <v>11.683999999999999</v>
      </c>
      <c r="H25" s="364">
        <v>60.71</v>
      </c>
    </row>
    <row r="26" spans="1:8" ht="15" x14ac:dyDescent="0.25">
      <c r="A26" s="389">
        <v>2</v>
      </c>
      <c r="B26" s="390">
        <v>12</v>
      </c>
      <c r="C26" s="391" t="s">
        <v>193</v>
      </c>
      <c r="D26" s="368">
        <v>5.25</v>
      </c>
      <c r="E26" s="392">
        <f t="shared" si="0"/>
        <v>12</v>
      </c>
      <c r="F26" s="364">
        <v>0.56499999999999995</v>
      </c>
      <c r="G26" s="393">
        <f t="shared" si="1"/>
        <v>14.350999999999997</v>
      </c>
      <c r="H26" s="364">
        <v>66.97</v>
      </c>
    </row>
    <row r="27" spans="1:8" ht="15" x14ac:dyDescent="0.25">
      <c r="A27" s="389">
        <v>3</v>
      </c>
      <c r="B27" s="390">
        <v>12</v>
      </c>
      <c r="C27" s="391" t="s">
        <v>193</v>
      </c>
      <c r="D27" s="368">
        <v>5.25</v>
      </c>
      <c r="E27" s="392">
        <f t="shared" si="0"/>
        <v>12</v>
      </c>
      <c r="F27" s="364">
        <v>0.68700000000000006</v>
      </c>
      <c r="G27" s="393">
        <f t="shared" si="1"/>
        <v>17.4498</v>
      </c>
      <c r="H27" s="364">
        <v>74.41</v>
      </c>
    </row>
    <row r="28" spans="1:8" ht="15" x14ac:dyDescent="0.25">
      <c r="A28" s="389">
        <v>4</v>
      </c>
      <c r="B28" s="390">
        <v>12</v>
      </c>
      <c r="C28" s="391" t="s">
        <v>193</v>
      </c>
      <c r="D28" s="368">
        <v>5.25</v>
      </c>
      <c r="E28" s="392">
        <f t="shared" si="0"/>
        <v>12</v>
      </c>
      <c r="F28" s="364">
        <v>0.81</v>
      </c>
      <c r="G28" s="393">
        <f t="shared" si="1"/>
        <v>20.574000000000002</v>
      </c>
      <c r="H28" s="364">
        <v>81.849999999999994</v>
      </c>
    </row>
    <row r="29" spans="1:8" x14ac:dyDescent="0.2">
      <c r="D29" s="401"/>
    </row>
    <row r="30" spans="1:8" x14ac:dyDescent="0.2">
      <c r="D30" s="401"/>
    </row>
    <row r="31" spans="1:8" x14ac:dyDescent="0.2">
      <c r="D31" s="401"/>
    </row>
  </sheetData>
  <sheetProtection password="921C" sheet="1" objects="1" scenarios="1" selectLockedCells="1"/>
  <mergeCells count="4">
    <mergeCell ref="A1:H1"/>
    <mergeCell ref="K1:O1"/>
    <mergeCell ref="B2:D2"/>
    <mergeCell ref="B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Plan30"/>
  <dimension ref="B1:F15"/>
  <sheetViews>
    <sheetView showGridLines="0" workbookViewId="0">
      <selection activeCell="E14" sqref="E14"/>
    </sheetView>
  </sheetViews>
  <sheetFormatPr defaultColWidth="9.140625" defaultRowHeight="12.75" x14ac:dyDescent="0.2"/>
  <cols>
    <col min="1" max="1" width="9.140625" style="105"/>
    <col min="2" max="3" width="22" style="105" customWidth="1"/>
    <col min="4" max="4" width="20" style="105" customWidth="1"/>
    <col min="5" max="5" width="19.7109375" style="105" customWidth="1"/>
    <col min="6" max="6" width="18.42578125" style="105" customWidth="1"/>
    <col min="7" max="16384" width="9.140625" style="105"/>
  </cols>
  <sheetData>
    <row r="1" spans="2:6" ht="14.25" x14ac:dyDescent="0.2">
      <c r="B1" s="929" t="s">
        <v>212</v>
      </c>
      <c r="C1" s="929"/>
      <c r="D1" s="929"/>
      <c r="E1" s="929"/>
      <c r="F1" s="929"/>
    </row>
    <row r="12" spans="2:6" ht="13.5" thickBot="1" x14ac:dyDescent="0.25"/>
    <row r="13" spans="2:6" ht="18.75" x14ac:dyDescent="0.2">
      <c r="B13" s="373" t="s">
        <v>213</v>
      </c>
      <c r="C13" s="402" t="s">
        <v>214</v>
      </c>
      <c r="D13" s="374" t="s">
        <v>208</v>
      </c>
      <c r="E13" s="374" t="s">
        <v>12</v>
      </c>
      <c r="F13" s="375" t="s">
        <v>197</v>
      </c>
    </row>
    <row r="14" spans="2:6" ht="19.5" thickBot="1" x14ac:dyDescent="0.25">
      <c r="B14" s="382">
        <v>38.1</v>
      </c>
      <c r="C14" s="403">
        <v>38.1</v>
      </c>
      <c r="D14" s="383">
        <v>3.1749999999999998</v>
      </c>
      <c r="E14" s="383">
        <v>6000</v>
      </c>
      <c r="F14" s="384">
        <f>IF(B14="","",IF(D14="","",IF(E14="","",((B14+C14)*(D14))*(0.00785)*(E14/1000))))</f>
        <v>11.3951385</v>
      </c>
    </row>
    <row r="15" spans="2:6" x14ac:dyDescent="0.2">
      <c r="B15" s="350" t="s">
        <v>198</v>
      </c>
      <c r="C15" s="350"/>
    </row>
  </sheetData>
  <sheetProtection password="921C" sheet="1" objects="1" scenarios="1" selectLockedCells="1"/>
  <mergeCells count="1">
    <mergeCell ref="B1:F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Plan31"/>
  <dimension ref="A1:O23"/>
  <sheetViews>
    <sheetView showGridLines="0" workbookViewId="0">
      <selection activeCell="O5" sqref="O5:O6"/>
    </sheetView>
  </sheetViews>
  <sheetFormatPr defaultColWidth="9.140625" defaultRowHeight="12.75" x14ac:dyDescent="0.2"/>
  <cols>
    <col min="1" max="9" width="9.140625" style="105"/>
    <col min="10" max="10" width="14.42578125" style="105" bestFit="1" customWidth="1"/>
    <col min="11" max="11" width="13.85546875" style="105" customWidth="1"/>
    <col min="12" max="13" width="18.140625" style="105" customWidth="1"/>
    <col min="14" max="14" width="15.7109375" style="105" customWidth="1"/>
    <col min="15" max="15" width="22" style="105" customWidth="1"/>
    <col min="16" max="16384" width="9.140625" style="105"/>
  </cols>
  <sheetData>
    <row r="1" spans="1:15" ht="14.25" x14ac:dyDescent="0.2">
      <c r="A1" s="929" t="s">
        <v>215</v>
      </c>
      <c r="B1" s="929"/>
      <c r="C1" s="929"/>
      <c r="D1" s="929"/>
      <c r="E1" s="929"/>
      <c r="F1" s="929"/>
      <c r="G1" s="929"/>
      <c r="H1" s="929"/>
      <c r="I1" s="929"/>
      <c r="J1" s="929"/>
      <c r="K1" s="929"/>
      <c r="L1" s="929"/>
      <c r="M1" s="929"/>
      <c r="N1" s="929"/>
      <c r="O1" s="929"/>
    </row>
    <row r="3" spans="1:15" ht="13.5" thickBot="1" x14ac:dyDescent="0.25"/>
    <row r="4" spans="1:15" ht="15.75" x14ac:dyDescent="0.2">
      <c r="J4" s="404" t="s">
        <v>216</v>
      </c>
      <c r="K4" s="405" t="s">
        <v>208</v>
      </c>
      <c r="L4" s="405" t="s">
        <v>217</v>
      </c>
      <c r="M4" s="405" t="s">
        <v>218</v>
      </c>
      <c r="N4" s="405" t="s">
        <v>219</v>
      </c>
      <c r="O4" s="406" t="s">
        <v>220</v>
      </c>
    </row>
    <row r="5" spans="1:15" x14ac:dyDescent="0.2">
      <c r="J5" s="950">
        <v>90</v>
      </c>
      <c r="K5" s="952">
        <v>3</v>
      </c>
      <c r="L5" s="952">
        <v>20</v>
      </c>
      <c r="M5" s="952">
        <v>32</v>
      </c>
      <c r="N5" s="954">
        <v>3</v>
      </c>
      <c r="O5" s="956">
        <v>6</v>
      </c>
    </row>
    <row r="6" spans="1:15" ht="13.5" thickBot="1" x14ac:dyDescent="0.25">
      <c r="J6" s="951"/>
      <c r="K6" s="953"/>
      <c r="L6" s="953"/>
      <c r="M6" s="953"/>
      <c r="N6" s="955"/>
      <c r="O6" s="957"/>
    </row>
    <row r="8" spans="1:15" ht="12.75" customHeight="1" x14ac:dyDescent="0.25">
      <c r="J8" s="940" t="s">
        <v>221</v>
      </c>
      <c r="K8" s="940"/>
      <c r="L8" s="940"/>
      <c r="M8" s="940"/>
      <c r="N8" s="940"/>
      <c r="O8" s="940"/>
    </row>
    <row r="9" spans="1:15" ht="12.75" customHeight="1" x14ac:dyDescent="0.2">
      <c r="J9" s="407"/>
      <c r="K9" s="407"/>
      <c r="L9" s="407"/>
      <c r="M9" s="407"/>
      <c r="N9" s="407"/>
      <c r="O9" s="407"/>
    </row>
    <row r="10" spans="1:15" ht="12.75" customHeight="1" x14ac:dyDescent="0.2">
      <c r="J10" s="407"/>
      <c r="K10" s="407"/>
      <c r="L10" s="407"/>
      <c r="M10" s="407"/>
      <c r="N10" s="407"/>
      <c r="O10" s="407"/>
    </row>
    <row r="11" spans="1:15" x14ac:dyDescent="0.2">
      <c r="J11" s="407"/>
      <c r="K11" s="407"/>
      <c r="L11" s="407"/>
      <c r="M11" s="407"/>
      <c r="N11" s="407"/>
      <c r="O11" s="407"/>
    </row>
    <row r="12" spans="1:15" x14ac:dyDescent="0.2">
      <c r="J12" s="407"/>
      <c r="K12" s="407"/>
      <c r="L12" s="407"/>
      <c r="M12" s="407"/>
      <c r="N12" s="407"/>
      <c r="O12" s="407"/>
    </row>
    <row r="13" spans="1:15" x14ac:dyDescent="0.2">
      <c r="J13" s="407"/>
      <c r="K13" s="407"/>
      <c r="L13" s="407"/>
      <c r="M13" s="407"/>
      <c r="N13" s="407"/>
      <c r="O13" s="407"/>
    </row>
    <row r="14" spans="1:15" ht="13.5" thickBot="1" x14ac:dyDescent="0.25"/>
    <row r="15" spans="1:15" ht="18.75" x14ac:dyDescent="0.3">
      <c r="J15" s="941" t="s">
        <v>222</v>
      </c>
      <c r="K15" s="942"/>
      <c r="L15" s="942"/>
      <c r="M15" s="942"/>
      <c r="N15" s="942"/>
      <c r="O15" s="943"/>
    </row>
    <row r="16" spans="1:15" ht="12.75" customHeight="1" x14ac:dyDescent="0.2">
      <c r="J16" s="944">
        <f>IF(J5="","",IF(K5="","",IF(L5="","",IF(M5="","",IF(N5="","",IF(O5="","",ROUND(L5+M5+(((K5/N5)+O5)*(J5*0.0174533)),2)))))))</f>
        <v>63</v>
      </c>
      <c r="K16" s="945"/>
      <c r="L16" s="945"/>
      <c r="M16" s="945"/>
      <c r="N16" s="945"/>
      <c r="O16" s="946"/>
    </row>
    <row r="17" spans="10:15" ht="12.75" customHeight="1" x14ac:dyDescent="0.2">
      <c r="J17" s="944"/>
      <c r="K17" s="945"/>
      <c r="L17" s="945"/>
      <c r="M17" s="945"/>
      <c r="N17" s="945"/>
      <c r="O17" s="946"/>
    </row>
    <row r="18" spans="10:15" ht="12.75" customHeight="1" x14ac:dyDescent="0.2">
      <c r="J18" s="944"/>
      <c r="K18" s="945"/>
      <c r="L18" s="945"/>
      <c r="M18" s="945"/>
      <c r="N18" s="945"/>
      <c r="O18" s="946"/>
    </row>
    <row r="19" spans="10:15" ht="12.75" customHeight="1" x14ac:dyDescent="0.2">
      <c r="J19" s="944"/>
      <c r="K19" s="945"/>
      <c r="L19" s="945"/>
      <c r="M19" s="945"/>
      <c r="N19" s="945"/>
      <c r="O19" s="946"/>
    </row>
    <row r="20" spans="10:15" ht="12.75" customHeight="1" x14ac:dyDescent="0.2">
      <c r="J20" s="944"/>
      <c r="K20" s="945"/>
      <c r="L20" s="945"/>
      <c r="M20" s="945"/>
      <c r="N20" s="945"/>
      <c r="O20" s="946"/>
    </row>
    <row r="21" spans="10:15" ht="13.5" customHeight="1" x14ac:dyDescent="0.2">
      <c r="J21" s="944"/>
      <c r="K21" s="945"/>
      <c r="L21" s="945"/>
      <c r="M21" s="945"/>
      <c r="N21" s="945"/>
      <c r="O21" s="946"/>
    </row>
    <row r="22" spans="10:15" ht="12.75" customHeight="1" x14ac:dyDescent="0.2">
      <c r="J22" s="944"/>
      <c r="K22" s="945"/>
      <c r="L22" s="945"/>
      <c r="M22" s="945"/>
      <c r="N22" s="945"/>
      <c r="O22" s="946"/>
    </row>
    <row r="23" spans="10:15" ht="13.5" customHeight="1" thickBot="1" x14ac:dyDescent="0.25">
      <c r="J23" s="947"/>
      <c r="K23" s="948"/>
      <c r="L23" s="948"/>
      <c r="M23" s="948"/>
      <c r="N23" s="948"/>
      <c r="O23" s="949"/>
    </row>
  </sheetData>
  <sheetProtection algorithmName="SHA-512" hashValue="t27ADjtTR1xlacA0vS00QW9/2YLBG5+OtX4CaRIWQ1FHnbdRa/+JG8ddXKtOMZooYTFKwEUwri2ztTuvTsWR8A==" saltValue="qXZinfConJAQ2vGTJS22zA==" spinCount="100000" sheet="1" objects="1" scenarios="1" selectLockedCells="1"/>
  <mergeCells count="10">
    <mergeCell ref="J8:O8"/>
    <mergeCell ref="J15:O15"/>
    <mergeCell ref="J16:O23"/>
    <mergeCell ref="A1:O1"/>
    <mergeCell ref="J5:J6"/>
    <mergeCell ref="K5:K6"/>
    <mergeCell ref="L5:L6"/>
    <mergeCell ref="M5:M6"/>
    <mergeCell ref="N5:N6"/>
    <mergeCell ref="O5:O6"/>
  </mergeCells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Plan35"/>
  <dimension ref="B1:E16"/>
  <sheetViews>
    <sheetView showGridLines="0" workbookViewId="0">
      <selection activeCell="B14" sqref="B14"/>
    </sheetView>
  </sheetViews>
  <sheetFormatPr defaultColWidth="9.140625" defaultRowHeight="12.75" x14ac:dyDescent="0.2"/>
  <cols>
    <col min="1" max="1" width="9.140625" style="105"/>
    <col min="2" max="3" width="22" style="105" customWidth="1"/>
    <col min="4" max="4" width="19.7109375" style="105" customWidth="1"/>
    <col min="5" max="5" width="18.42578125" style="105" customWidth="1"/>
    <col min="6" max="16384" width="9.140625" style="105"/>
  </cols>
  <sheetData>
    <row r="1" spans="2:5" ht="14.25" x14ac:dyDescent="0.2">
      <c r="B1" s="929" t="s">
        <v>230</v>
      </c>
      <c r="C1" s="929"/>
      <c r="D1" s="929"/>
      <c r="E1" s="929"/>
    </row>
    <row r="12" spans="2:5" ht="13.5" thickBot="1" x14ac:dyDescent="0.25"/>
    <row r="13" spans="2:5" ht="19.5" thickBot="1" x14ac:dyDescent="0.25">
      <c r="B13" s="958" t="s">
        <v>231</v>
      </c>
      <c r="C13" s="959"/>
      <c r="D13" s="412" t="s">
        <v>12</v>
      </c>
      <c r="E13" s="412" t="s">
        <v>13</v>
      </c>
    </row>
    <row r="14" spans="2:5" ht="19.5" thickBot="1" x14ac:dyDescent="0.25">
      <c r="B14" s="415">
        <v>1.25</v>
      </c>
      <c r="C14" s="415">
        <v>0.25</v>
      </c>
      <c r="D14" s="960">
        <v>1000</v>
      </c>
      <c r="E14" s="963">
        <f>IF(B14="","",IF(C14="","",IF(D14="","",((((B14*25.4)*(C14*25.4)*(D14/1000)*0.00789))))))</f>
        <v>1.5907226249999997</v>
      </c>
    </row>
    <row r="15" spans="2:5" ht="18.75" x14ac:dyDescent="0.2">
      <c r="B15" s="958" t="s">
        <v>232</v>
      </c>
      <c r="C15" s="959"/>
      <c r="D15" s="961"/>
      <c r="E15" s="964"/>
    </row>
    <row r="16" spans="2:5" ht="19.5" thickBot="1" x14ac:dyDescent="0.25">
      <c r="B16" s="413">
        <f>B14*25.4</f>
        <v>31.75</v>
      </c>
      <c r="C16" s="414">
        <f>C14*25.4</f>
        <v>6.35</v>
      </c>
      <c r="D16" s="962"/>
      <c r="E16" s="965"/>
    </row>
  </sheetData>
  <sheetProtection selectLockedCells="1"/>
  <mergeCells count="5">
    <mergeCell ref="B1:E1"/>
    <mergeCell ref="B13:C13"/>
    <mergeCell ref="B15:C15"/>
    <mergeCell ref="D14:D16"/>
    <mergeCell ref="E14:E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Plan36"/>
  <dimension ref="A1:W89"/>
  <sheetViews>
    <sheetView showGridLines="0" tabSelected="1" zoomScaleNormal="100" workbookViewId="0">
      <selection activeCell="E3" sqref="E3:E6"/>
    </sheetView>
  </sheetViews>
  <sheetFormatPr defaultColWidth="2.28515625" defaultRowHeight="15" x14ac:dyDescent="0.25"/>
  <cols>
    <col min="1" max="1" width="6.42578125" customWidth="1"/>
    <col min="2" max="2" width="5.28515625" customWidth="1"/>
    <col min="3" max="3" width="11" customWidth="1"/>
    <col min="4" max="4" width="10.7109375" customWidth="1"/>
    <col min="5" max="5" width="12.85546875" customWidth="1"/>
    <col min="6" max="6" width="10" customWidth="1"/>
    <col min="7" max="7" width="10.85546875" customWidth="1"/>
    <col min="8" max="8" width="11" customWidth="1"/>
    <col min="9" max="9" width="9.28515625" customWidth="1"/>
    <col min="10" max="10" width="17.85546875" customWidth="1"/>
    <col min="11" max="11" width="4.42578125" customWidth="1"/>
    <col min="12" max="12" width="16.28515625" customWidth="1"/>
    <col min="13" max="13" width="11" customWidth="1"/>
    <col min="14" max="14" width="13.42578125" customWidth="1"/>
    <col min="15" max="15" width="17.7109375" hidden="1" customWidth="1"/>
    <col min="16" max="18" width="4.42578125" hidden="1" customWidth="1"/>
    <col min="19" max="19" width="5" hidden="1" customWidth="1"/>
    <col min="20" max="20" width="5.7109375" hidden="1" customWidth="1"/>
    <col min="21" max="22" width="9.140625" hidden="1" customWidth="1"/>
    <col min="23" max="23" width="32" style="544" customWidth="1"/>
    <col min="24" max="255" width="9.140625" customWidth="1"/>
  </cols>
  <sheetData>
    <row r="1" spans="1:23" ht="15.75" thickBot="1" x14ac:dyDescent="0.3">
      <c r="A1" s="610" t="s">
        <v>236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470" t="s">
        <v>321</v>
      </c>
    </row>
    <row r="2" spans="1:23" ht="15.75" customHeight="1" x14ac:dyDescent="0.25">
      <c r="A2" s="634" t="s">
        <v>94</v>
      </c>
      <c r="B2" s="635"/>
      <c r="C2" s="420" t="s">
        <v>10</v>
      </c>
      <c r="D2" s="420" t="s">
        <v>46</v>
      </c>
      <c r="E2" s="420" t="s">
        <v>12</v>
      </c>
      <c r="F2" s="620" t="s">
        <v>95</v>
      </c>
      <c r="G2" s="620"/>
      <c r="H2" s="611" t="s">
        <v>137</v>
      </c>
      <c r="I2" s="611"/>
      <c r="J2" s="612" t="s">
        <v>138</v>
      </c>
      <c r="K2" s="612"/>
      <c r="L2" s="626" t="str">
        <f>IF(C3&lt;=6.35,"Guilhotina","NÃO USAR GUILHOTINA")</f>
        <v>Guilhotina</v>
      </c>
      <c r="M2" s="627"/>
      <c r="N2" s="628"/>
      <c r="W2" s="555" t="s">
        <v>322</v>
      </c>
    </row>
    <row r="3" spans="1:23" ht="15" customHeight="1" x14ac:dyDescent="0.25">
      <c r="A3" s="636"/>
      <c r="B3" s="637"/>
      <c r="C3" s="613">
        <v>1.5</v>
      </c>
      <c r="D3" s="615">
        <v>1000</v>
      </c>
      <c r="E3" s="615">
        <v>2810</v>
      </c>
      <c r="F3" s="595">
        <v>1</v>
      </c>
      <c r="G3" s="595"/>
      <c r="H3" s="617">
        <f>C3*D3*E3*D81/1000000</f>
        <v>33.08775</v>
      </c>
      <c r="I3" s="617"/>
      <c r="J3" s="618">
        <f>C3*D9*E9*D81/1000000/F3</f>
        <v>2.6457011999999995</v>
      </c>
      <c r="K3" s="618"/>
      <c r="L3" s="629"/>
      <c r="M3" s="630"/>
      <c r="N3" s="631"/>
      <c r="W3" s="555"/>
    </row>
    <row r="4" spans="1:23" ht="18.75" customHeight="1" x14ac:dyDescent="0.25">
      <c r="A4" s="636"/>
      <c r="B4" s="637"/>
      <c r="C4" s="613"/>
      <c r="D4" s="615"/>
      <c r="E4" s="615"/>
      <c r="F4" s="595"/>
      <c r="G4" s="595"/>
      <c r="H4" s="617"/>
      <c r="I4" s="617"/>
      <c r="J4" s="618"/>
      <c r="K4" s="618"/>
      <c r="L4" s="638" t="s">
        <v>237</v>
      </c>
      <c r="M4" s="639"/>
      <c r="N4" s="640"/>
      <c r="W4" s="555"/>
    </row>
    <row r="5" spans="1:23" ht="15" customHeight="1" x14ac:dyDescent="0.25">
      <c r="A5" s="622" t="s">
        <v>264</v>
      </c>
      <c r="B5" s="623"/>
      <c r="C5" s="613"/>
      <c r="D5" s="615"/>
      <c r="E5" s="615"/>
      <c r="F5" s="595"/>
      <c r="G5" s="595"/>
      <c r="H5" s="617"/>
      <c r="I5" s="617"/>
      <c r="J5" s="618"/>
      <c r="K5" s="618"/>
      <c r="L5" s="440" t="s">
        <v>46</v>
      </c>
      <c r="M5" s="588" t="s">
        <v>12</v>
      </c>
      <c r="N5" s="589"/>
      <c r="W5" s="571" t="s">
        <v>323</v>
      </c>
    </row>
    <row r="6" spans="1:23" ht="21" customHeight="1" x14ac:dyDescent="0.35">
      <c r="A6" s="624"/>
      <c r="B6" s="625"/>
      <c r="C6" s="614"/>
      <c r="D6" s="616"/>
      <c r="E6" s="616"/>
      <c r="F6" s="595"/>
      <c r="G6" s="595"/>
      <c r="H6" s="617"/>
      <c r="I6" s="617"/>
      <c r="J6" s="618"/>
      <c r="K6" s="618"/>
      <c r="L6" s="458" t="e">
        <f>ROUNDUP(#REF!,0)</f>
        <v>#REF!</v>
      </c>
      <c r="M6" s="632" t="e">
        <f>ROUNDUP(#REF!,0)</f>
        <v>#REF!</v>
      </c>
      <c r="N6" s="633"/>
      <c r="O6" s="439" t="s">
        <v>98</v>
      </c>
      <c r="P6" s="619">
        <f>IF(J8="É ESSE",B32,B28)</f>
        <v>8</v>
      </c>
      <c r="Q6" s="619"/>
      <c r="R6" s="311" t="s">
        <v>134</v>
      </c>
      <c r="S6" s="621">
        <f>IF(J8="É ESSE",D32,D28)</f>
        <v>2810</v>
      </c>
      <c r="T6" s="621"/>
      <c r="W6" s="571"/>
    </row>
    <row r="7" spans="1:23" ht="18.75" customHeight="1" x14ac:dyDescent="0.35">
      <c r="A7" s="641" t="s">
        <v>97</v>
      </c>
      <c r="B7" s="641"/>
      <c r="C7" s="641"/>
      <c r="D7" s="641"/>
      <c r="E7" s="641"/>
      <c r="F7" s="641" t="str">
        <f>IF(F3&lt;&gt;1,"VER QUANT.","")</f>
        <v/>
      </c>
      <c r="G7" s="641"/>
      <c r="H7" s="648"/>
      <c r="I7" s="648"/>
      <c r="J7" s="648"/>
      <c r="K7" s="648"/>
      <c r="L7" s="638" t="s">
        <v>235</v>
      </c>
      <c r="M7" s="639"/>
      <c r="N7" s="640"/>
      <c r="O7" s="439" t="s">
        <v>109</v>
      </c>
      <c r="P7" s="619">
        <f>IF(J8="É ESSE",B33,B29)</f>
        <v>992</v>
      </c>
      <c r="Q7" s="619"/>
      <c r="R7" s="311" t="s">
        <v>134</v>
      </c>
      <c r="S7" s="621">
        <f>IF(J8="É ESSE",D33,D29)</f>
        <v>92</v>
      </c>
      <c r="T7" s="621"/>
      <c r="W7" s="555" t="s">
        <v>324</v>
      </c>
    </row>
    <row r="8" spans="1:23" ht="15" customHeight="1" x14ac:dyDescent="0.25">
      <c r="A8" s="642" t="s">
        <v>98</v>
      </c>
      <c r="B8" s="642"/>
      <c r="C8" s="421" t="s">
        <v>10</v>
      </c>
      <c r="D8" s="422" t="s">
        <v>46</v>
      </c>
      <c r="E8" s="423" t="s">
        <v>12</v>
      </c>
      <c r="F8" s="424"/>
      <c r="G8" s="425"/>
      <c r="H8" s="426"/>
      <c r="I8" s="427"/>
      <c r="J8" s="590" t="str">
        <f>IF(F12&gt;F21,"É ESSE","")</f>
        <v/>
      </c>
      <c r="K8" s="591"/>
      <c r="L8" s="644" t="e">
        <f>#REF!</f>
        <v>#REF!</v>
      </c>
      <c r="M8" s="646" t="e">
        <f>#REF!</f>
        <v>#REF!</v>
      </c>
      <c r="N8" s="647"/>
      <c r="W8" s="555"/>
    </row>
    <row r="9" spans="1:23" ht="12.75" customHeight="1" x14ac:dyDescent="0.25">
      <c r="A9" s="643"/>
      <c r="B9" s="643"/>
      <c r="C9" s="606">
        <f>C3</f>
        <v>1.5</v>
      </c>
      <c r="D9" s="604">
        <v>453</v>
      </c>
      <c r="E9" s="605">
        <v>496</v>
      </c>
      <c r="F9" s="599" t="s">
        <v>257</v>
      </c>
      <c r="G9" s="603" t="s">
        <v>100</v>
      </c>
      <c r="H9" s="603"/>
      <c r="I9" s="603"/>
      <c r="J9" s="592"/>
      <c r="K9" s="593"/>
      <c r="L9" s="644"/>
      <c r="M9" s="646"/>
      <c r="N9" s="647"/>
      <c r="W9" s="555"/>
    </row>
    <row r="10" spans="1:23" ht="15" customHeight="1" x14ac:dyDescent="0.25">
      <c r="A10" s="643"/>
      <c r="B10" s="643"/>
      <c r="C10" s="606"/>
      <c r="D10" s="604"/>
      <c r="E10" s="605"/>
      <c r="F10" s="599"/>
      <c r="G10" s="603"/>
      <c r="H10" s="603"/>
      <c r="I10" s="603"/>
      <c r="J10" s="592"/>
      <c r="K10" s="593"/>
      <c r="L10" s="638" t="s">
        <v>238</v>
      </c>
      <c r="M10" s="639"/>
      <c r="N10" s="640"/>
      <c r="W10" s="555" t="s">
        <v>325</v>
      </c>
    </row>
    <row r="11" spans="1:23" ht="0.75" hidden="1" customHeight="1" x14ac:dyDescent="0.25">
      <c r="A11" s="643"/>
      <c r="B11" s="643"/>
      <c r="C11" s="296"/>
      <c r="D11" s="299">
        <f>D3/D9</f>
        <v>2.2075055187637971</v>
      </c>
      <c r="E11" s="299">
        <f>E3/E9</f>
        <v>5.665322580645161</v>
      </c>
      <c r="F11" s="421"/>
      <c r="G11" s="421"/>
      <c r="H11" s="421"/>
      <c r="I11" s="421"/>
      <c r="J11" s="594"/>
      <c r="K11" s="593"/>
      <c r="L11" s="441"/>
      <c r="M11" s="442"/>
      <c r="N11" s="443"/>
      <c r="W11" s="555"/>
    </row>
    <row r="12" spans="1:23" ht="17.25" customHeight="1" thickBot="1" x14ac:dyDescent="0.3">
      <c r="A12" s="643"/>
      <c r="B12" s="643"/>
      <c r="C12" s="468" t="s">
        <v>258</v>
      </c>
      <c r="D12" s="469">
        <f>ROUNDDOWN(D11,0)</f>
        <v>2</v>
      </c>
      <c r="E12" s="469">
        <f>ROUNDDOWN(E11,0)</f>
        <v>5</v>
      </c>
      <c r="F12" s="645">
        <f>D12*E12*F3</f>
        <v>10</v>
      </c>
      <c r="G12" s="463" t="s">
        <v>256</v>
      </c>
      <c r="H12" s="464">
        <f>H3/F12</f>
        <v>3.3087749999999998</v>
      </c>
      <c r="I12" s="463" t="s">
        <v>103</v>
      </c>
      <c r="J12" s="594"/>
      <c r="K12" s="593"/>
      <c r="L12" s="600" t="e">
        <f>L8*M8*F3</f>
        <v>#REF!</v>
      </c>
      <c r="M12" s="601"/>
      <c r="N12" s="602"/>
      <c r="W12" s="555"/>
    </row>
    <row r="13" spans="1:23" x14ac:dyDescent="0.25">
      <c r="A13" s="643"/>
      <c r="B13" s="643"/>
      <c r="C13" s="303"/>
      <c r="D13" s="304" t="str">
        <f>IF(D11&lt;1,"FALSO","OK")</f>
        <v>OK</v>
      </c>
      <c r="E13" s="304" t="str">
        <f>IF(E11&lt;1,"FALSO","OK")</f>
        <v>OK</v>
      </c>
      <c r="F13" s="645"/>
      <c r="G13" s="463" t="s">
        <v>104</v>
      </c>
      <c r="H13" s="464">
        <f>E30</f>
        <v>0.66901695000000005</v>
      </c>
      <c r="I13" s="463" t="s">
        <v>103</v>
      </c>
      <c r="J13" s="594"/>
      <c r="K13" s="593"/>
      <c r="L13" s="567" t="s">
        <v>239</v>
      </c>
      <c r="M13" s="568"/>
      <c r="N13" s="569"/>
      <c r="W13" s="555"/>
    </row>
    <row r="14" spans="1:23" ht="18.75" customHeight="1" x14ac:dyDescent="0.25">
      <c r="A14" s="451">
        <f>D12</f>
        <v>2</v>
      </c>
      <c r="B14" s="579" t="s">
        <v>259</v>
      </c>
      <c r="C14" s="579"/>
      <c r="D14" s="579"/>
      <c r="E14" s="451">
        <f>E12</f>
        <v>5</v>
      </c>
      <c r="F14" s="579" t="s">
        <v>261</v>
      </c>
      <c r="G14" s="579"/>
      <c r="H14" s="579"/>
      <c r="I14" s="579"/>
      <c r="J14" s="594"/>
      <c r="K14" s="593"/>
      <c r="L14" s="572" t="s">
        <v>240</v>
      </c>
      <c r="M14" s="573" t="s">
        <v>241</v>
      </c>
      <c r="N14" s="574"/>
      <c r="W14" s="555" t="s">
        <v>326</v>
      </c>
    </row>
    <row r="15" spans="1:23" ht="15" hidden="1" customHeight="1" x14ac:dyDescent="0.25">
      <c r="A15" s="580" t="s">
        <v>107</v>
      </c>
      <c r="B15" s="580"/>
      <c r="C15" s="580"/>
      <c r="D15" s="580"/>
      <c r="E15" s="306">
        <f>E14*360</f>
        <v>1800</v>
      </c>
      <c r="F15" s="581" t="s">
        <v>108</v>
      </c>
      <c r="G15" s="581"/>
      <c r="H15" s="581"/>
      <c r="I15" s="581"/>
      <c r="J15" s="594"/>
      <c r="K15" s="593"/>
      <c r="L15" s="572"/>
      <c r="M15" s="573"/>
      <c r="N15" s="574"/>
      <c r="W15" s="555"/>
    </row>
    <row r="16" spans="1:23" ht="15.75" hidden="1" customHeight="1" x14ac:dyDescent="0.25">
      <c r="A16" s="582" t="str">
        <f>IF(D13="OK","","REPROVADO")</f>
        <v/>
      </c>
      <c r="B16" s="582"/>
      <c r="C16" s="582"/>
      <c r="D16" s="582"/>
      <c r="E16" s="583" t="str">
        <f>IF(E13="OK","","REPROVADO")</f>
        <v/>
      </c>
      <c r="F16" s="583"/>
      <c r="G16" s="583"/>
      <c r="H16" s="583"/>
      <c r="I16" s="583"/>
      <c r="J16" s="594"/>
      <c r="K16" s="593"/>
      <c r="L16" s="572"/>
      <c r="M16" s="573"/>
      <c r="N16" s="574"/>
      <c r="W16" s="555"/>
    </row>
    <row r="17" spans="1:23" ht="18.75" x14ac:dyDescent="0.25">
      <c r="A17" s="596"/>
      <c r="B17" s="596"/>
      <c r="C17" s="596"/>
      <c r="D17" s="596"/>
      <c r="E17" s="596"/>
      <c r="F17" s="596"/>
      <c r="G17" s="596"/>
      <c r="H17" s="596"/>
      <c r="I17" s="596"/>
      <c r="J17" s="596"/>
      <c r="K17" s="597"/>
      <c r="L17" s="572"/>
      <c r="M17" s="573"/>
      <c r="N17" s="574"/>
      <c r="W17" s="555"/>
    </row>
    <row r="18" spans="1:23" ht="15.75" x14ac:dyDescent="0.25">
      <c r="A18" s="598" t="s">
        <v>109</v>
      </c>
      <c r="B18" s="598"/>
      <c r="C18" s="429" t="s">
        <v>10</v>
      </c>
      <c r="D18" s="428" t="s">
        <v>46</v>
      </c>
      <c r="E18" s="428" t="s">
        <v>12</v>
      </c>
      <c r="F18" s="599"/>
      <c r="G18" s="599"/>
      <c r="H18" s="599"/>
      <c r="I18" s="599"/>
      <c r="J18" s="607" t="str">
        <f>IF(F21&gt;F12,"É ESSE","")</f>
        <v>É ESSE</v>
      </c>
      <c r="K18" s="608"/>
      <c r="L18" s="575" t="s">
        <v>242</v>
      </c>
      <c r="M18" s="576"/>
      <c r="N18" s="465" t="e">
        <f>VLOOKUP(M14,#REF!,3,FALSE)</f>
        <v>#REF!</v>
      </c>
      <c r="W18" s="555"/>
    </row>
    <row r="19" spans="1:23" ht="28.5" customHeight="1" x14ac:dyDescent="0.25">
      <c r="A19" s="598"/>
      <c r="B19" s="598"/>
      <c r="C19" s="430">
        <f>C3</f>
        <v>1.5</v>
      </c>
      <c r="D19" s="471">
        <f>E9</f>
        <v>496</v>
      </c>
      <c r="E19" s="472">
        <f>D9</f>
        <v>453</v>
      </c>
      <c r="F19" s="430" t="s">
        <v>257</v>
      </c>
      <c r="G19" s="603" t="s">
        <v>100</v>
      </c>
      <c r="H19" s="603"/>
      <c r="I19" s="603"/>
      <c r="J19" s="607"/>
      <c r="K19" s="608"/>
      <c r="L19" s="578" t="s">
        <v>88</v>
      </c>
      <c r="M19" s="473" t="e">
        <f>ROUNDUP(#REF!/F3,4)</f>
        <v>#REF!</v>
      </c>
      <c r="N19" s="454" t="s">
        <v>243</v>
      </c>
      <c r="W19" s="555"/>
    </row>
    <row r="20" spans="1:23" ht="15" hidden="1" customHeight="1" x14ac:dyDescent="0.25">
      <c r="A20" s="598"/>
      <c r="B20" s="598"/>
      <c r="C20" s="431" t="s">
        <v>101</v>
      </c>
      <c r="D20" s="432">
        <f>D3/D19</f>
        <v>2.0161290322580645</v>
      </c>
      <c r="E20" s="432">
        <f>E3/E19</f>
        <v>6.2030905077262695</v>
      </c>
      <c r="F20" s="430"/>
      <c r="G20" s="429" t="e">
        <f>H3/F20</f>
        <v>#DIV/0!</v>
      </c>
      <c r="H20" s="429" t="s">
        <v>103</v>
      </c>
      <c r="I20" s="429"/>
      <c r="J20" s="607"/>
      <c r="K20" s="608"/>
      <c r="L20" s="578"/>
      <c r="M20" s="453"/>
      <c r="N20" s="454"/>
      <c r="W20" s="459"/>
    </row>
    <row r="21" spans="1:23" ht="17.25" customHeight="1" thickBot="1" x14ac:dyDescent="0.3">
      <c r="A21" s="598"/>
      <c r="B21" s="598"/>
      <c r="C21" s="466" t="s">
        <v>258</v>
      </c>
      <c r="D21" s="467">
        <f>ROUNDDOWN(D20,0)</f>
        <v>2</v>
      </c>
      <c r="E21" s="467">
        <f>ROUNDDOWN(E20,0)</f>
        <v>6</v>
      </c>
      <c r="F21" s="609">
        <f>D21*E21*F3</f>
        <v>12</v>
      </c>
      <c r="G21" s="460" t="s">
        <v>256</v>
      </c>
      <c r="H21" s="461">
        <f>H3/F21</f>
        <v>2.7573124999999998</v>
      </c>
      <c r="I21" s="460" t="s">
        <v>103</v>
      </c>
      <c r="J21" s="607"/>
      <c r="K21" s="608"/>
      <c r="L21" s="455" t="s">
        <v>89</v>
      </c>
      <c r="M21" s="456" t="e">
        <f>ROUNDUP(M19*N18,4)</f>
        <v>#REF!</v>
      </c>
      <c r="N21" s="457" t="s">
        <v>243</v>
      </c>
      <c r="W21" s="555" t="s">
        <v>327</v>
      </c>
    </row>
    <row r="22" spans="1:23" x14ac:dyDescent="0.25">
      <c r="A22" s="598"/>
      <c r="B22" s="598"/>
      <c r="C22" s="433"/>
      <c r="D22" s="434" t="str">
        <f>IF(D20&lt;1,"FALSO","OK")</f>
        <v>OK</v>
      </c>
      <c r="E22" s="434" t="str">
        <f>IF(E20&lt;1,"FALSO","OK")</f>
        <v>OK</v>
      </c>
      <c r="F22" s="609"/>
      <c r="G22" s="460" t="s">
        <v>104</v>
      </c>
      <c r="H22" s="462">
        <f>E34</f>
        <v>0.11332249999999999</v>
      </c>
      <c r="I22" s="460" t="s">
        <v>103</v>
      </c>
      <c r="J22" s="607"/>
      <c r="K22" s="607"/>
      <c r="L22" s="567" t="s">
        <v>244</v>
      </c>
      <c r="M22" s="568"/>
      <c r="N22" s="569"/>
      <c r="W22" s="555"/>
    </row>
    <row r="23" spans="1:23" ht="19.5" thickBot="1" x14ac:dyDescent="0.3">
      <c r="A23" s="452">
        <f>D21</f>
        <v>2</v>
      </c>
      <c r="B23" s="586" t="s">
        <v>259</v>
      </c>
      <c r="C23" s="586"/>
      <c r="D23" s="586"/>
      <c r="E23" s="452">
        <f>E21</f>
        <v>6</v>
      </c>
      <c r="F23" s="586" t="s">
        <v>260</v>
      </c>
      <c r="G23" s="586"/>
      <c r="H23" s="586"/>
      <c r="I23" s="586"/>
      <c r="J23" s="607"/>
      <c r="K23" s="607"/>
      <c r="L23" s="455" t="s">
        <v>88</v>
      </c>
      <c r="M23" s="456" t="e">
        <f>ROUNDUP((#REF!/60)/F3,4)</f>
        <v>#REF!</v>
      </c>
      <c r="N23" s="457" t="s">
        <v>243</v>
      </c>
      <c r="W23" s="555"/>
    </row>
    <row r="24" spans="1:23" ht="15" hidden="1" customHeight="1" x14ac:dyDescent="0.25">
      <c r="A24" s="559" t="s">
        <v>107</v>
      </c>
      <c r="B24" s="559"/>
      <c r="C24" s="559"/>
      <c r="D24" s="559"/>
      <c r="E24" s="435">
        <f>E21*360</f>
        <v>2160</v>
      </c>
      <c r="F24" s="560" t="s">
        <v>108</v>
      </c>
      <c r="G24" s="560"/>
      <c r="H24" s="560"/>
      <c r="I24" s="560"/>
      <c r="J24" s="607"/>
      <c r="K24" s="607"/>
      <c r="L24" s="437"/>
      <c r="M24" s="437"/>
      <c r="N24" s="437"/>
      <c r="W24" s="555"/>
    </row>
    <row r="25" spans="1:23" ht="15.75" hidden="1" customHeight="1" x14ac:dyDescent="0.25">
      <c r="A25" s="587" t="str">
        <f>IF(D22="OK","","REPROVADO")</f>
        <v/>
      </c>
      <c r="B25" s="587"/>
      <c r="C25" s="587"/>
      <c r="D25" s="587"/>
      <c r="E25" s="570" t="str">
        <f>IF(E22="OK","","REPROVADO")</f>
        <v/>
      </c>
      <c r="F25" s="570"/>
      <c r="G25" s="570"/>
      <c r="H25" s="570"/>
      <c r="I25" s="570"/>
      <c r="J25" s="607"/>
      <c r="K25" s="607"/>
      <c r="L25" s="436"/>
      <c r="W25" s="555"/>
    </row>
    <row r="26" spans="1:23" ht="15" hidden="1" customHeight="1" x14ac:dyDescent="0.25">
      <c r="A26" s="585" t="s">
        <v>135</v>
      </c>
      <c r="B26" s="585"/>
      <c r="C26" s="585"/>
      <c r="D26" s="585"/>
      <c r="E26" s="585"/>
      <c r="F26" s="585"/>
      <c r="G26" s="585"/>
      <c r="H26" s="585"/>
      <c r="I26" s="284"/>
      <c r="W26" s="555"/>
    </row>
    <row r="27" spans="1:23" ht="15" hidden="1" customHeight="1" x14ac:dyDescent="0.25">
      <c r="A27" s="563">
        <v>2</v>
      </c>
      <c r="B27" s="217"/>
      <c r="C27" s="285"/>
      <c r="D27" s="285"/>
      <c r="E27" s="285"/>
      <c r="F27" s="285"/>
      <c r="G27" s="285"/>
      <c r="H27" s="285"/>
      <c r="I27" s="217"/>
      <c r="W27" s="555"/>
    </row>
    <row r="28" spans="1:23" ht="15" hidden="1" customHeight="1" x14ac:dyDescent="0.25">
      <c r="A28" s="563"/>
      <c r="B28" s="285">
        <f>D3-(D21*D19)</f>
        <v>8</v>
      </c>
      <c r="C28" s="285" t="s">
        <v>134</v>
      </c>
      <c r="D28" s="285">
        <f>E3</f>
        <v>2810</v>
      </c>
      <c r="E28" s="217">
        <f>C3*B28*D28*D81/F21/1000000</f>
        <v>2.2058500000000002E-2</v>
      </c>
      <c r="F28" s="285"/>
      <c r="G28" s="285"/>
      <c r="H28" s="285"/>
      <c r="I28" s="217"/>
      <c r="W28" s="555"/>
    </row>
    <row r="29" spans="1:23" ht="15" hidden="1" customHeight="1" x14ac:dyDescent="0.25">
      <c r="A29" s="563"/>
      <c r="B29" s="285">
        <f>D21*D19</f>
        <v>992</v>
      </c>
      <c r="C29" s="285" t="s">
        <v>134</v>
      </c>
      <c r="D29" s="285">
        <f>E3-(E21*E19)</f>
        <v>92</v>
      </c>
      <c r="E29" s="217">
        <f>C3*B29*D29*8/F21/1000000</f>
        <v>9.1263999999999998E-2</v>
      </c>
      <c r="F29" s="285"/>
      <c r="G29" s="285"/>
      <c r="H29" s="285"/>
      <c r="I29" s="217"/>
      <c r="W29" s="555"/>
    </row>
    <row r="30" spans="1:23" ht="18" hidden="1" customHeight="1" x14ac:dyDescent="0.25">
      <c r="A30" s="563"/>
      <c r="B30" s="285"/>
      <c r="C30" s="285"/>
      <c r="D30" s="286" t="s">
        <v>136</v>
      </c>
      <c r="E30" s="287">
        <f>E33+E32</f>
        <v>0.66901695000000005</v>
      </c>
      <c r="F30" s="285"/>
      <c r="G30" s="285"/>
      <c r="H30" s="285"/>
      <c r="I30" s="217"/>
      <c r="W30" s="555"/>
    </row>
    <row r="31" spans="1:23" ht="18" hidden="1" customHeight="1" x14ac:dyDescent="0.25">
      <c r="A31" s="282"/>
      <c r="F31" s="288"/>
      <c r="G31" s="288"/>
      <c r="H31" s="288"/>
      <c r="I31" s="217"/>
      <c r="W31" s="555"/>
    </row>
    <row r="32" spans="1:23" ht="15" hidden="1" customHeight="1" x14ac:dyDescent="0.25">
      <c r="A32" s="563">
        <v>1</v>
      </c>
      <c r="B32" s="285">
        <f>D3-(D9*D12)</f>
        <v>94</v>
      </c>
      <c r="C32" s="285" t="s">
        <v>134</v>
      </c>
      <c r="D32" s="285">
        <f>E3</f>
        <v>2810</v>
      </c>
      <c r="E32" s="217">
        <f>C3*B32*D32*8/F12/1000000</f>
        <v>0.31696800000000003</v>
      </c>
      <c r="F32" s="285"/>
      <c r="G32" s="285"/>
      <c r="H32" s="285"/>
      <c r="I32" s="217"/>
      <c r="W32" s="555"/>
    </row>
    <row r="33" spans="1:23" ht="15" hidden="1" customHeight="1" x14ac:dyDescent="0.25">
      <c r="A33" s="563"/>
      <c r="B33" s="285">
        <f>D12*D9</f>
        <v>906</v>
      </c>
      <c r="C33" s="285" t="s">
        <v>134</v>
      </c>
      <c r="D33" s="285">
        <f>E3-(E9*E12)</f>
        <v>330</v>
      </c>
      <c r="E33" s="217">
        <f>C3*B33*D33*D81/F12/1000000</f>
        <v>0.35204895000000003</v>
      </c>
      <c r="F33" s="285"/>
      <c r="G33" s="285"/>
      <c r="H33" s="285"/>
      <c r="I33" s="217"/>
      <c r="W33" s="555"/>
    </row>
    <row r="34" spans="1:23" ht="18" hidden="1" customHeight="1" x14ac:dyDescent="0.25">
      <c r="A34" s="563"/>
      <c r="B34" s="285"/>
      <c r="C34" s="285"/>
      <c r="D34" s="286" t="s">
        <v>136</v>
      </c>
      <c r="E34" s="287">
        <f>E28+E29</f>
        <v>0.11332249999999999</v>
      </c>
      <c r="F34" s="285"/>
      <c r="G34" s="285"/>
      <c r="H34" s="285"/>
      <c r="I34" s="217"/>
      <c r="W34" s="555"/>
    </row>
    <row r="35" spans="1:23" ht="15" hidden="1" customHeight="1" x14ac:dyDescent="0.25">
      <c r="A35" s="563"/>
      <c r="B35" s="285"/>
      <c r="C35" s="285"/>
      <c r="D35" s="285"/>
      <c r="E35" s="285"/>
      <c r="F35" s="285"/>
      <c r="G35" s="285"/>
      <c r="H35" s="285"/>
      <c r="I35" s="217"/>
      <c r="W35" s="555"/>
    </row>
    <row r="36" spans="1:23" ht="15" hidden="1" customHeight="1" x14ac:dyDescent="0.25">
      <c r="A36" s="217"/>
      <c r="B36" s="285"/>
      <c r="C36" s="285"/>
      <c r="D36" s="285"/>
      <c r="E36" s="285"/>
      <c r="F36" s="285"/>
      <c r="G36" s="285"/>
      <c r="H36" s="285"/>
      <c r="I36" s="289"/>
      <c r="W36" s="555"/>
    </row>
    <row r="37" spans="1:23" ht="15" hidden="1" customHeight="1" x14ac:dyDescent="0.25">
      <c r="A37" s="217"/>
      <c r="B37" s="285"/>
      <c r="C37" s="285"/>
      <c r="D37" s="285"/>
      <c r="E37" s="285"/>
      <c r="F37" s="285"/>
      <c r="G37" s="285"/>
      <c r="H37" s="285"/>
      <c r="I37" s="289"/>
      <c r="W37" s="555"/>
    </row>
    <row r="38" spans="1:23" ht="15" hidden="1" customHeight="1" x14ac:dyDescent="0.25">
      <c r="A38" s="217"/>
      <c r="B38" s="285"/>
      <c r="C38" s="285"/>
      <c r="D38" s="285"/>
      <c r="E38" s="285"/>
      <c r="F38" s="285"/>
      <c r="G38" s="285"/>
      <c r="H38" s="285"/>
      <c r="I38" s="289"/>
      <c r="W38" s="555"/>
    </row>
    <row r="39" spans="1:23" ht="15" hidden="1" customHeight="1" x14ac:dyDescent="0.25">
      <c r="A39" s="290"/>
      <c r="B39" s="291"/>
      <c r="C39" s="291"/>
      <c r="D39" s="291"/>
      <c r="E39" s="291"/>
      <c r="F39" s="291"/>
      <c r="G39" s="291"/>
      <c r="H39" s="291"/>
      <c r="I39" s="292"/>
      <c r="W39" s="555"/>
    </row>
    <row r="40" spans="1:23" ht="15" hidden="1" customHeight="1" x14ac:dyDescent="0.25">
      <c r="W40" s="555"/>
    </row>
    <row r="41" spans="1:23" ht="15" hidden="1" customHeight="1" x14ac:dyDescent="0.25">
      <c r="B41" s="293"/>
      <c r="C41" s="293"/>
      <c r="N41" s="584">
        <f>IF(J8="É ESSE",B32,B28)</f>
        <v>8</v>
      </c>
      <c r="W41" s="555"/>
    </row>
    <row r="42" spans="1:23" ht="15" hidden="1" customHeight="1" x14ac:dyDescent="0.25">
      <c r="J42" s="294"/>
      <c r="N42" s="584"/>
      <c r="W42" s="555"/>
    </row>
    <row r="43" spans="1:23" ht="15" hidden="1" customHeight="1" x14ac:dyDescent="0.25">
      <c r="W43" s="555"/>
    </row>
    <row r="44" spans="1:23" ht="15" hidden="1" customHeight="1" x14ac:dyDescent="0.25">
      <c r="W44" s="555"/>
    </row>
    <row r="45" spans="1:23" ht="15" hidden="1" customHeight="1" x14ac:dyDescent="0.25">
      <c r="W45" s="555"/>
    </row>
    <row r="46" spans="1:23" ht="15" hidden="1" customHeight="1" x14ac:dyDescent="0.25">
      <c r="W46" s="555"/>
    </row>
    <row r="47" spans="1:23" ht="15" hidden="1" customHeight="1" x14ac:dyDescent="0.25">
      <c r="B47" s="561">
        <f>D3</f>
        <v>1000</v>
      </c>
      <c r="W47" s="555"/>
    </row>
    <row r="48" spans="1:23" ht="15" hidden="1" customHeight="1" x14ac:dyDescent="0.25">
      <c r="B48" s="561"/>
      <c r="W48" s="555"/>
    </row>
    <row r="49" spans="1:23" ht="18" hidden="1" customHeight="1" x14ac:dyDescent="0.25">
      <c r="B49" s="561"/>
      <c r="C49" s="562">
        <f>IF(J8="é esse",E9,D9)</f>
        <v>453</v>
      </c>
      <c r="D49" s="562"/>
      <c r="W49" s="555"/>
    </row>
    <row r="50" spans="1:23" ht="15" hidden="1" customHeight="1" x14ac:dyDescent="0.25">
      <c r="B50" s="561"/>
      <c r="W50" s="555"/>
    </row>
    <row r="51" spans="1:23" ht="15" hidden="1" customHeight="1" x14ac:dyDescent="0.25">
      <c r="B51" s="561"/>
      <c r="W51" s="555"/>
    </row>
    <row r="52" spans="1:23" ht="15" hidden="1" customHeight="1" x14ac:dyDescent="0.25">
      <c r="B52" s="561"/>
      <c r="W52" s="555"/>
    </row>
    <row r="53" spans="1:23" ht="15" hidden="1" customHeight="1" x14ac:dyDescent="0.25">
      <c r="D53" s="577">
        <f>IF(J8="é esse",D9,E9)</f>
        <v>496</v>
      </c>
      <c r="W53" s="555"/>
    </row>
    <row r="54" spans="1:23" ht="15" hidden="1" customHeight="1" x14ac:dyDescent="0.25">
      <c r="D54" s="577"/>
      <c r="W54" s="555"/>
    </row>
    <row r="55" spans="1:23" ht="15" hidden="1" customHeight="1" x14ac:dyDescent="0.25">
      <c r="D55" s="577"/>
      <c r="W55" s="555"/>
    </row>
    <row r="56" spans="1:23" ht="15" hidden="1" customHeight="1" x14ac:dyDescent="0.25">
      <c r="D56" s="577"/>
      <c r="W56" s="555"/>
    </row>
    <row r="57" spans="1:23" ht="15" hidden="1" customHeight="1" x14ac:dyDescent="0.25">
      <c r="D57" s="295"/>
      <c r="W57" s="555"/>
    </row>
    <row r="58" spans="1:23" ht="15" hidden="1" customHeight="1" x14ac:dyDescent="0.25">
      <c r="W58" s="555"/>
    </row>
    <row r="59" spans="1:23" ht="15" hidden="1" customHeight="1" x14ac:dyDescent="0.25">
      <c r="W59" s="555"/>
    </row>
    <row r="60" spans="1:23" ht="15" hidden="1" customHeight="1" x14ac:dyDescent="0.25">
      <c r="F60" s="557">
        <f>E3</f>
        <v>2810</v>
      </c>
      <c r="G60" s="557"/>
      <c r="H60" s="557"/>
      <c r="L60" s="558">
        <f>IF(J8="É ESSE",D33,D29)</f>
        <v>92</v>
      </c>
      <c r="M60" s="558"/>
      <c r="W60" s="555"/>
    </row>
    <row r="61" spans="1:23" ht="15" hidden="1" customHeight="1" x14ac:dyDescent="0.25">
      <c r="F61" s="557"/>
      <c r="G61" s="557"/>
      <c r="H61" s="557"/>
      <c r="L61" s="558"/>
      <c r="M61" s="558"/>
      <c r="W61" s="555"/>
    </row>
    <row r="62" spans="1:23" ht="15" hidden="1" customHeight="1" x14ac:dyDescent="0.25">
      <c r="F62" s="557"/>
      <c r="G62" s="557"/>
      <c r="H62" s="557"/>
      <c r="W62" s="555"/>
    </row>
    <row r="63" spans="1:23" ht="15.75" thickBot="1" x14ac:dyDescent="0.3">
      <c r="J63" s="438"/>
      <c r="K63" s="438"/>
      <c r="W63" s="555"/>
    </row>
    <row r="64" spans="1:23" x14ac:dyDescent="0.25">
      <c r="A64" s="567" t="s">
        <v>245</v>
      </c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9"/>
      <c r="W64" s="555"/>
    </row>
    <row r="65" spans="1:23" ht="15.75" thickBot="1" x14ac:dyDescent="0.3">
      <c r="A65" s="564" t="s">
        <v>337</v>
      </c>
      <c r="B65" s="565"/>
      <c r="C65" s="565"/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6"/>
      <c r="W65" s="556"/>
    </row>
    <row r="68" spans="1:23" ht="15.75" hidden="1" thickBot="1" x14ac:dyDescent="0.3">
      <c r="A68" s="444" t="s">
        <v>253</v>
      </c>
      <c r="B68" s="445"/>
      <c r="C68" s="445"/>
      <c r="D68" s="445"/>
      <c r="E68" s="446" t="e">
        <f>IF(L6&gt;M6,M6,L6)</f>
        <v>#REF!</v>
      </c>
      <c r="F68" s="447" t="e">
        <f>IF(L6&gt;M6,L6,M6)</f>
        <v>#REF!</v>
      </c>
      <c r="G68" s="445" t="s">
        <v>250</v>
      </c>
      <c r="H68" s="445"/>
      <c r="I68" s="448" t="e">
        <f>M19</f>
        <v>#REF!</v>
      </c>
      <c r="J68" s="445" t="s">
        <v>251</v>
      </c>
      <c r="K68" s="449" t="e">
        <f>N18</f>
        <v>#REF!</v>
      </c>
      <c r="L68" s="445" t="s">
        <v>255</v>
      </c>
      <c r="M68" s="445" t="e">
        <f>VLOOKUP(M14,#REF!,2,FALSE)</f>
        <v>#REF!</v>
      </c>
      <c r="N68" s="450" t="s">
        <v>252</v>
      </c>
    </row>
    <row r="69" spans="1:23" hidden="1" x14ac:dyDescent="0.25">
      <c r="A69" t="s">
        <v>246</v>
      </c>
      <c r="B69" t="s">
        <v>247</v>
      </c>
      <c r="C69" t="s">
        <v>248</v>
      </c>
      <c r="D69" t="s">
        <v>249</v>
      </c>
    </row>
    <row r="72" spans="1:23" x14ac:dyDescent="0.25">
      <c r="J72" t="s">
        <v>246</v>
      </c>
    </row>
    <row r="80" spans="1:23" hidden="1" x14ac:dyDescent="0.25">
      <c r="A80" t="s">
        <v>263</v>
      </c>
      <c r="D80" t="s">
        <v>254</v>
      </c>
    </row>
    <row r="81" spans="1:4" hidden="1" x14ac:dyDescent="0.25">
      <c r="A81" t="s">
        <v>264</v>
      </c>
      <c r="C81">
        <v>7.85</v>
      </c>
      <c r="D81">
        <f>IF(A5=A81,C81,IF(A5=A82,C82,IF(A5=A83,C83,IF(A5=A84,C84,IF(A5=A85,C85,IF(A5=A86,C86,IF(A5=A87,C87,IF(A5=A88,C88,C89))))))))</f>
        <v>7.85</v>
      </c>
    </row>
    <row r="82" spans="1:4" hidden="1" x14ac:dyDescent="0.25">
      <c r="A82" t="s">
        <v>272</v>
      </c>
      <c r="C82">
        <v>7.85</v>
      </c>
    </row>
    <row r="83" spans="1:4" hidden="1" x14ac:dyDescent="0.25">
      <c r="A83" t="s">
        <v>265</v>
      </c>
      <c r="C83">
        <v>2.7</v>
      </c>
    </row>
    <row r="84" spans="1:4" hidden="1" x14ac:dyDescent="0.25">
      <c r="A84" t="s">
        <v>266</v>
      </c>
      <c r="C84">
        <v>0.92</v>
      </c>
    </row>
    <row r="85" spans="1:4" hidden="1" x14ac:dyDescent="0.25">
      <c r="A85" t="s">
        <v>267</v>
      </c>
      <c r="C85">
        <v>8.83</v>
      </c>
    </row>
    <row r="86" spans="1:4" hidden="1" x14ac:dyDescent="0.25">
      <c r="A86" t="s">
        <v>268</v>
      </c>
      <c r="C86">
        <v>8.93</v>
      </c>
    </row>
    <row r="87" spans="1:4" hidden="1" x14ac:dyDescent="0.25">
      <c r="A87" t="s">
        <v>269</v>
      </c>
      <c r="C87">
        <v>8.5</v>
      </c>
    </row>
    <row r="88" spans="1:4" hidden="1" x14ac:dyDescent="0.25">
      <c r="A88" t="s">
        <v>270</v>
      </c>
      <c r="C88">
        <v>8.91</v>
      </c>
    </row>
    <row r="89" spans="1:4" hidden="1" x14ac:dyDescent="0.25">
      <c r="A89" t="s">
        <v>271</v>
      </c>
      <c r="C89">
        <v>4.55</v>
      </c>
    </row>
  </sheetData>
  <sheetProtection selectLockedCells="1"/>
  <mergeCells count="77">
    <mergeCell ref="S7:T7"/>
    <mergeCell ref="A7:E7"/>
    <mergeCell ref="P7:Q7"/>
    <mergeCell ref="A8:B13"/>
    <mergeCell ref="L8:L9"/>
    <mergeCell ref="F12:F13"/>
    <mergeCell ref="L7:N7"/>
    <mergeCell ref="L13:N13"/>
    <mergeCell ref="M8:N9"/>
    <mergeCell ref="L10:N10"/>
    <mergeCell ref="F7:G7"/>
    <mergeCell ref="H7:K7"/>
    <mergeCell ref="A1:V1"/>
    <mergeCell ref="H2:I2"/>
    <mergeCell ref="J2:K2"/>
    <mergeCell ref="C3:C6"/>
    <mergeCell ref="D3:D6"/>
    <mergeCell ref="E3:E6"/>
    <mergeCell ref="H3:I6"/>
    <mergeCell ref="J3:K6"/>
    <mergeCell ref="P6:Q6"/>
    <mergeCell ref="F2:G2"/>
    <mergeCell ref="S6:T6"/>
    <mergeCell ref="A5:B6"/>
    <mergeCell ref="L2:N3"/>
    <mergeCell ref="M6:N6"/>
    <mergeCell ref="A2:B4"/>
    <mergeCell ref="L4:N4"/>
    <mergeCell ref="M5:N5"/>
    <mergeCell ref="J8:K16"/>
    <mergeCell ref="F3:G6"/>
    <mergeCell ref="A17:K17"/>
    <mergeCell ref="A18:B22"/>
    <mergeCell ref="F18:I18"/>
    <mergeCell ref="L12:N12"/>
    <mergeCell ref="G9:I10"/>
    <mergeCell ref="F9:F10"/>
    <mergeCell ref="D9:D10"/>
    <mergeCell ref="E9:E10"/>
    <mergeCell ref="C9:C10"/>
    <mergeCell ref="J18:K25"/>
    <mergeCell ref="G19:I19"/>
    <mergeCell ref="F21:F22"/>
    <mergeCell ref="B23:D23"/>
    <mergeCell ref="L14:L17"/>
    <mergeCell ref="M14:N17"/>
    <mergeCell ref="L18:M18"/>
    <mergeCell ref="D53:D56"/>
    <mergeCell ref="L19:L20"/>
    <mergeCell ref="B14:D14"/>
    <mergeCell ref="F14:I14"/>
    <mergeCell ref="A15:D15"/>
    <mergeCell ref="F15:I15"/>
    <mergeCell ref="A16:D16"/>
    <mergeCell ref="E16:I16"/>
    <mergeCell ref="N41:N42"/>
    <mergeCell ref="A26:H26"/>
    <mergeCell ref="A27:A30"/>
    <mergeCell ref="F23:I23"/>
    <mergeCell ref="A25:D25"/>
    <mergeCell ref="W2:W4"/>
    <mergeCell ref="W5:W6"/>
    <mergeCell ref="W7:W9"/>
    <mergeCell ref="W10:W13"/>
    <mergeCell ref="W14:W19"/>
    <mergeCell ref="W21:W65"/>
    <mergeCell ref="F60:H62"/>
    <mergeCell ref="L60:M61"/>
    <mergeCell ref="A24:D24"/>
    <mergeCell ref="F24:I24"/>
    <mergeCell ref="B47:B52"/>
    <mergeCell ref="C49:D49"/>
    <mergeCell ref="A32:A35"/>
    <mergeCell ref="A65:N65"/>
    <mergeCell ref="L22:N22"/>
    <mergeCell ref="A64:N64"/>
    <mergeCell ref="E25:I25"/>
  </mergeCells>
  <conditionalFormatting sqref="H13">
    <cfRule type="cellIs" dxfId="8" priority="9" stopIfTrue="1" operator="greaterThan">
      <formula>0</formula>
    </cfRule>
  </conditionalFormatting>
  <conditionalFormatting sqref="E8 H2:K6 F2">
    <cfRule type="cellIs" dxfId="7" priority="8" stopIfTrue="1" operator="equal">
      <formula>"VER QUANT."</formula>
    </cfRule>
  </conditionalFormatting>
  <conditionalFormatting sqref="H8:I8">
    <cfRule type="cellIs" dxfId="6" priority="7" stopIfTrue="1" operator="equal">
      <formula>"VER QUANT."</formula>
    </cfRule>
  </conditionalFormatting>
  <conditionalFormatting sqref="L2:N3">
    <cfRule type="cellIs" dxfId="5" priority="6" operator="equal">
      <formula>"NÃO USAR GUILHOTINA"</formula>
    </cfRule>
  </conditionalFormatting>
  <conditionalFormatting sqref="E22">
    <cfRule type="cellIs" dxfId="4" priority="1" operator="equal">
      <formula>FALSE</formula>
    </cfRule>
  </conditionalFormatting>
  <dataValidations count="2">
    <dataValidation type="list" allowBlank="1" showErrorMessage="1" sqref="M14:N17" xr:uid="{00000000-0002-0000-2300-000000000000}">
      <formula1>#REF!</formula1>
    </dataValidation>
    <dataValidation type="list" allowBlank="1" showInputMessage="1" showErrorMessage="1" sqref="A5:B6" xr:uid="{00000000-0002-0000-2300-000001000000}">
      <formula1>$A$81:$A$89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5E8D-AEE7-444F-A173-9C2A24610C96}">
  <sheetPr codeName="Plan38">
    <pageSetUpPr fitToPage="1"/>
  </sheetPr>
  <dimension ref="B4:X25"/>
  <sheetViews>
    <sheetView showGridLines="0" zoomScale="85" zoomScaleNormal="85" workbookViewId="0">
      <selection activeCell="J8" sqref="J8:L8"/>
    </sheetView>
  </sheetViews>
  <sheetFormatPr defaultColWidth="9.140625" defaultRowHeight="18" customHeight="1" x14ac:dyDescent="0.2"/>
  <cols>
    <col min="1" max="1" width="23.7109375" style="476" customWidth="1"/>
    <col min="2" max="3" width="6.42578125" style="476" customWidth="1"/>
    <col min="4" max="5" width="9.85546875" style="476" customWidth="1"/>
    <col min="6" max="6" width="12.85546875" style="476" customWidth="1"/>
    <col min="7" max="7" width="8.140625" style="476" customWidth="1"/>
    <col min="8" max="9" width="5" style="476" customWidth="1"/>
    <col min="10" max="11" width="11.42578125" style="476" customWidth="1"/>
    <col min="12" max="12" width="12.5703125" style="476" customWidth="1"/>
    <col min="13" max="13" width="9.140625" style="476"/>
    <col min="14" max="15" width="11.42578125" style="476" customWidth="1"/>
    <col min="16" max="16" width="12.140625" style="476" customWidth="1"/>
    <col min="17" max="17" width="9.140625" style="476"/>
    <col min="18" max="19" width="11.42578125" style="476" customWidth="1"/>
    <col min="20" max="20" width="16" style="476" customWidth="1"/>
    <col min="21" max="21" width="9.140625" style="476" customWidth="1"/>
    <col min="22" max="23" width="11.42578125" style="476" customWidth="1"/>
    <col min="24" max="24" width="15.42578125" style="476" customWidth="1"/>
    <col min="25" max="16384" width="9.140625" style="476"/>
  </cols>
  <sheetData>
    <row r="4" spans="2:24" ht="18" customHeight="1" thickBot="1" x14ac:dyDescent="0.25"/>
    <row r="5" spans="2:24" ht="18" customHeight="1" x14ac:dyDescent="0.2">
      <c r="B5" s="976" t="str">
        <f>IF(D6=25000,"&lt;===","")</f>
        <v/>
      </c>
      <c r="D5" s="977" t="s">
        <v>285</v>
      </c>
      <c r="E5" s="977"/>
      <c r="F5" s="977"/>
      <c r="G5" s="977"/>
      <c r="J5" s="967" t="s">
        <v>284</v>
      </c>
      <c r="K5" s="967"/>
      <c r="L5" s="967"/>
      <c r="M5" s="479"/>
      <c r="N5" s="967" t="s">
        <v>284</v>
      </c>
      <c r="O5" s="967"/>
      <c r="P5" s="967"/>
      <c r="Q5" s="479"/>
      <c r="R5" s="967" t="s">
        <v>343</v>
      </c>
      <c r="S5" s="967"/>
      <c r="T5" s="967"/>
      <c r="V5" s="967" t="s">
        <v>343</v>
      </c>
      <c r="W5" s="967"/>
      <c r="X5" s="967"/>
    </row>
    <row r="6" spans="2:24" ht="18" customHeight="1" x14ac:dyDescent="0.25">
      <c r="B6" s="976"/>
      <c r="D6" s="978">
        <v>5000</v>
      </c>
      <c r="E6" s="978"/>
      <c r="F6" s="978"/>
      <c r="G6" s="978"/>
      <c r="J6" s="968"/>
      <c r="K6" s="968"/>
      <c r="L6" s="968"/>
      <c r="M6" s="479"/>
      <c r="N6" s="968"/>
      <c r="O6" s="968"/>
      <c r="P6" s="968"/>
      <c r="Q6" s="479"/>
      <c r="R6" s="968"/>
      <c r="S6" s="968"/>
      <c r="T6" s="968"/>
      <c r="V6" s="968"/>
      <c r="W6" s="968"/>
      <c r="X6" s="968"/>
    </row>
    <row r="7" spans="2:24" ht="18" customHeight="1" thickBot="1" x14ac:dyDescent="0.25">
      <c r="B7" s="485"/>
      <c r="D7" s="484"/>
      <c r="J7" s="969" t="s">
        <v>283</v>
      </c>
      <c r="K7" s="969"/>
      <c r="L7" s="969"/>
      <c r="M7" s="479"/>
      <c r="N7" s="969" t="s">
        <v>283</v>
      </c>
      <c r="O7" s="969"/>
      <c r="P7" s="969"/>
      <c r="Q7" s="479"/>
      <c r="R7" s="969" t="s">
        <v>344</v>
      </c>
      <c r="S7" s="969"/>
      <c r="T7" s="969"/>
      <c r="V7" s="969" t="s">
        <v>344</v>
      </c>
      <c r="W7" s="969"/>
      <c r="X7" s="969"/>
    </row>
    <row r="8" spans="2:24" ht="18" customHeight="1" thickBot="1" x14ac:dyDescent="0.3">
      <c r="B8" s="976" t="str">
        <f>IF(D6=12000,"&lt;===","")</f>
        <v/>
      </c>
      <c r="D8" s="979" t="s">
        <v>282</v>
      </c>
      <c r="E8" s="979"/>
      <c r="F8" s="980" t="s">
        <v>281</v>
      </c>
      <c r="G8" s="981"/>
      <c r="I8" s="554"/>
      <c r="J8" s="973"/>
      <c r="K8" s="970"/>
      <c r="L8" s="970"/>
      <c r="M8" s="479"/>
      <c r="N8" s="986"/>
      <c r="O8" s="986"/>
      <c r="P8" s="986"/>
      <c r="Q8" s="479"/>
      <c r="R8" s="970"/>
      <c r="S8" s="970"/>
      <c r="T8" s="970"/>
      <c r="V8" s="970"/>
      <c r="W8" s="970"/>
      <c r="X8" s="970"/>
    </row>
    <row r="9" spans="2:24" ht="18" customHeight="1" thickBot="1" x14ac:dyDescent="0.25">
      <c r="B9" s="976"/>
      <c r="D9" s="979"/>
      <c r="E9" s="979"/>
      <c r="F9" s="982"/>
      <c r="G9" s="983"/>
      <c r="I9" s="554"/>
      <c r="J9" s="996" t="s">
        <v>280</v>
      </c>
      <c r="K9" s="997"/>
      <c r="L9" s="998"/>
      <c r="M9" s="553"/>
      <c r="N9" s="987" t="s">
        <v>280</v>
      </c>
      <c r="O9" s="988"/>
      <c r="P9" s="989"/>
      <c r="Q9" s="479"/>
      <c r="R9" s="969" t="s">
        <v>345</v>
      </c>
      <c r="S9" s="969"/>
      <c r="T9" s="969"/>
      <c r="V9" s="969" t="s">
        <v>345</v>
      </c>
      <c r="W9" s="969"/>
      <c r="X9" s="969"/>
    </row>
    <row r="10" spans="2:24" ht="18" customHeight="1" thickBot="1" x14ac:dyDescent="0.3">
      <c r="B10" s="976"/>
      <c r="D10" s="979"/>
      <c r="E10" s="979"/>
      <c r="F10" s="982"/>
      <c r="G10" s="983"/>
      <c r="I10" s="554"/>
      <c r="J10" s="990"/>
      <c r="K10" s="991"/>
      <c r="L10" s="992"/>
      <c r="M10" s="553"/>
      <c r="N10" s="990"/>
      <c r="O10" s="991"/>
      <c r="P10" s="992"/>
      <c r="Q10" s="479"/>
      <c r="R10" s="971"/>
      <c r="S10" s="972"/>
      <c r="T10" s="973"/>
      <c r="V10" s="971"/>
      <c r="W10" s="972"/>
      <c r="X10" s="973"/>
    </row>
    <row r="11" spans="2:24" ht="18" customHeight="1" thickBot="1" x14ac:dyDescent="0.25">
      <c r="B11" s="976"/>
      <c r="D11" s="979"/>
      <c r="E11" s="979"/>
      <c r="F11" s="984"/>
      <c r="G11" s="985"/>
      <c r="I11" s="554"/>
      <c r="J11" s="999"/>
      <c r="K11" s="1000"/>
      <c r="L11" s="1001"/>
      <c r="M11" s="553"/>
      <c r="N11" s="993"/>
      <c r="O11" s="994"/>
      <c r="P11" s="995"/>
      <c r="Q11" s="479"/>
      <c r="R11" s="969" t="s">
        <v>280</v>
      </c>
      <c r="S11" s="969"/>
      <c r="T11" s="969"/>
      <c r="V11" s="969" t="s">
        <v>280</v>
      </c>
      <c r="W11" s="969"/>
      <c r="X11" s="969"/>
    </row>
    <row r="12" spans="2:24" ht="18" customHeight="1" thickBot="1" x14ac:dyDescent="0.3">
      <c r="B12" s="976" t="str">
        <f>IF(D6=5000,"&lt;===","")</f>
        <v>&lt;===</v>
      </c>
      <c r="D12" s="1003">
        <v>100</v>
      </c>
      <c r="E12" s="1003"/>
      <c r="F12" s="1004">
        <v>835</v>
      </c>
      <c r="G12" s="1004"/>
      <c r="H12" s="482"/>
      <c r="J12" s="974">
        <f>IF(D6=25000,1*J6,IF(D6=12000,3*J6,IF(D6=5000,5*J6,IF(D6=2500,8*J6,IF(D6=1000,12*J6,IF(D6=700,23*J6,""))))))</f>
        <v>0</v>
      </c>
      <c r="K12" s="974"/>
      <c r="L12" s="974"/>
      <c r="M12" s="479"/>
      <c r="N12" s="1005">
        <f>IF(D6=25000,3*N6,IF(D6=12000,3*N6,IF(D6=5000,5*N6,IF(D6=2500,8*N6,IF(D6=1000,12*N6,IF(D6=700,23*N6,""))))))</f>
        <v>0</v>
      </c>
      <c r="O12" s="1005"/>
      <c r="P12" s="1005"/>
      <c r="Q12" s="479"/>
      <c r="R12" s="974">
        <f>IF(D6=25000,3*R6,IF(D6=12000,3*R6,IF(D6=5000,5*R6,IF(D6=2500,8*R6,IF(D6=1000,12*R6,IF(D6=700,23*R6,""))))))</f>
        <v>0</v>
      </c>
      <c r="S12" s="974"/>
      <c r="T12" s="974"/>
      <c r="V12" s="974">
        <f>IF(D6=25000,3*V6,IF(D6=12000,3*V6,IF(D6=5000,5*V6,IF(D6=2500,8*V6,IF(D6=1000,12*V6,IF(D6=700,23*V6,""))))))</f>
        <v>0</v>
      </c>
      <c r="W12" s="974"/>
      <c r="X12" s="974"/>
    </row>
    <row r="13" spans="2:24" ht="18" customHeight="1" thickBot="1" x14ac:dyDescent="0.3">
      <c r="B13" s="976"/>
      <c r="D13" s="1003"/>
      <c r="E13" s="1003"/>
      <c r="F13" s="1004"/>
      <c r="G13" s="1004"/>
      <c r="H13" s="482"/>
      <c r="J13" s="481"/>
      <c r="K13" s="120"/>
      <c r="L13" s="480"/>
      <c r="M13" s="479"/>
      <c r="N13" s="481"/>
      <c r="O13" s="120"/>
      <c r="P13" s="480"/>
      <c r="Q13" s="479"/>
      <c r="R13" s="481"/>
      <c r="S13" s="120"/>
      <c r="T13" s="480"/>
      <c r="V13" s="481"/>
      <c r="W13" s="120"/>
      <c r="X13" s="480"/>
    </row>
    <row r="14" spans="2:24" ht="18" customHeight="1" x14ac:dyDescent="0.25">
      <c r="B14" s="976"/>
      <c r="D14" s="483"/>
      <c r="E14" s="483"/>
      <c r="F14" s="483"/>
      <c r="G14" s="483"/>
      <c r="H14" s="482"/>
      <c r="J14" s="481"/>
      <c r="K14" s="120"/>
      <c r="L14" s="480"/>
      <c r="M14" s="479"/>
      <c r="N14" s="481"/>
      <c r="O14" s="120"/>
      <c r="P14" s="480"/>
      <c r="Q14" s="479"/>
      <c r="R14" s="481"/>
      <c r="S14" s="120"/>
      <c r="T14" s="480"/>
      <c r="V14" s="481"/>
      <c r="W14" s="120"/>
      <c r="X14" s="480"/>
    </row>
    <row r="15" spans="2:24" ht="18" customHeight="1" x14ac:dyDescent="0.25">
      <c r="B15" s="976"/>
      <c r="D15" s="977" t="s">
        <v>279</v>
      </c>
      <c r="E15" s="977"/>
      <c r="F15" s="977"/>
      <c r="G15" s="977"/>
      <c r="J15" s="975" t="s">
        <v>278</v>
      </c>
      <c r="K15" s="975"/>
      <c r="L15" s="975"/>
      <c r="M15" s="479"/>
      <c r="N15" s="975" t="s">
        <v>278</v>
      </c>
      <c r="O15" s="975"/>
      <c r="P15" s="975"/>
      <c r="Q15" s="479"/>
      <c r="R15" s="975" t="s">
        <v>278</v>
      </c>
      <c r="S15" s="975"/>
      <c r="T15" s="975"/>
      <c r="V15" s="975" t="s">
        <v>278</v>
      </c>
      <c r="W15" s="975"/>
      <c r="X15" s="975"/>
    </row>
    <row r="16" spans="2:24" ht="18" customHeight="1" thickBot="1" x14ac:dyDescent="0.3">
      <c r="B16" s="976" t="str">
        <f>IF(D6=2500,"&lt;===","")</f>
        <v/>
      </c>
      <c r="D16" s="1008">
        <f>(D12*2)+(F12*2)</f>
        <v>1870</v>
      </c>
      <c r="E16" s="1008"/>
      <c r="F16" s="1008"/>
      <c r="G16" s="1008"/>
      <c r="J16" s="966">
        <f>(J6*J8)*3.14</f>
        <v>0</v>
      </c>
      <c r="K16" s="966"/>
      <c r="L16" s="966"/>
      <c r="M16" s="479"/>
      <c r="N16" s="966">
        <f>(N6*N8)*3.14</f>
        <v>0</v>
      </c>
      <c r="O16" s="966"/>
      <c r="P16" s="966"/>
      <c r="Q16" s="479"/>
      <c r="R16" s="966">
        <f>R6*(2*3.14*(R10/2))+(2*R8)</f>
        <v>0</v>
      </c>
      <c r="S16" s="966"/>
      <c r="T16" s="966"/>
      <c r="V16" s="966">
        <f>V6*(2*3.14*(V10/2))+(2*V8)</f>
        <v>0</v>
      </c>
      <c r="W16" s="966"/>
      <c r="X16" s="966"/>
    </row>
    <row r="17" spans="2:12" ht="18" customHeight="1" x14ac:dyDescent="0.2">
      <c r="B17" s="976"/>
    </row>
    <row r="18" spans="2:12" ht="18" customHeight="1" x14ac:dyDescent="0.2">
      <c r="B18" s="478"/>
    </row>
    <row r="19" spans="2:12" ht="18" customHeight="1" x14ac:dyDescent="0.2">
      <c r="B19" s="976" t="str">
        <f>IF(D6=1000,"&lt;===","")</f>
        <v/>
      </c>
    </row>
    <row r="20" spans="2:12" ht="18" customHeight="1" thickBot="1" x14ac:dyDescent="0.25">
      <c r="B20" s="976"/>
    </row>
    <row r="21" spans="2:12" ht="18" customHeight="1" x14ac:dyDescent="0.25">
      <c r="B21" s="477"/>
      <c r="D21" s="1002" t="s">
        <v>277</v>
      </c>
      <c r="E21" s="1002"/>
      <c r="F21" s="1002"/>
      <c r="G21" s="1002"/>
      <c r="I21" s="1002" t="s">
        <v>277</v>
      </c>
      <c r="J21" s="1002"/>
      <c r="K21" s="1002"/>
      <c r="L21" s="1002"/>
    </row>
    <row r="22" spans="2:12" ht="18" customHeight="1" thickBot="1" x14ac:dyDescent="0.3">
      <c r="B22" s="976" t="str">
        <f>IF(D6=700,"&lt;===","")</f>
        <v/>
      </c>
      <c r="D22" s="1006">
        <f>ROUNDUP((((D16+J16+N16+R16+V16)*60)/D6)+10+J12+N12+R12+V12,0)</f>
        <v>33</v>
      </c>
      <c r="E22" s="1006"/>
      <c r="F22" s="1006"/>
      <c r="G22" s="1006"/>
      <c r="H22" s="475"/>
      <c r="I22" s="1007">
        <f>ROUND(D22/60,2)</f>
        <v>0.55000000000000004</v>
      </c>
      <c r="J22" s="1007"/>
      <c r="K22" s="1007"/>
      <c r="L22" s="1007"/>
    </row>
    <row r="23" spans="2:12" ht="18" customHeight="1" thickBot="1" x14ac:dyDescent="0.3">
      <c r="B23" s="976"/>
      <c r="D23" s="1006"/>
      <c r="E23" s="1006"/>
      <c r="F23" s="1006"/>
      <c r="G23" s="1006"/>
      <c r="H23" s="475"/>
      <c r="I23" s="1007"/>
      <c r="J23" s="1007"/>
      <c r="K23" s="1007"/>
      <c r="L23" s="1007"/>
    </row>
    <row r="25" spans="2:12" ht="18" customHeight="1" x14ac:dyDescent="0.2">
      <c r="E25" s="474"/>
    </row>
  </sheetData>
  <sheetProtection algorithmName="SHA-512" hashValue="LKggGO5xDkta5je+sIb2HU7W10EhOrSq4x+Xbowsa6/SFCkBAw7lQ6C3Y6CONF1xnjSUzUjKRZvxfX6/fRPg+Q==" saltValue="ZJZJw6hoHbdcHmA4vr936w==" spinCount="100000" sheet="1" objects="1" scenarios="1" selectLockedCells="1"/>
  <mergeCells count="54">
    <mergeCell ref="D22:G23"/>
    <mergeCell ref="I22:L23"/>
    <mergeCell ref="B16:B17"/>
    <mergeCell ref="D16:G16"/>
    <mergeCell ref="J16:L16"/>
    <mergeCell ref="B22:B23"/>
    <mergeCell ref="N16:P16"/>
    <mergeCell ref="B19:B20"/>
    <mergeCell ref="D21:G21"/>
    <mergeCell ref="I21:L21"/>
    <mergeCell ref="B12:B15"/>
    <mergeCell ref="D12:E13"/>
    <mergeCell ref="F12:G13"/>
    <mergeCell ref="J12:L12"/>
    <mergeCell ref="N12:P12"/>
    <mergeCell ref="D15:G15"/>
    <mergeCell ref="J15:L15"/>
    <mergeCell ref="N15:P15"/>
    <mergeCell ref="J7:L7"/>
    <mergeCell ref="N7:P7"/>
    <mergeCell ref="B8:B11"/>
    <mergeCell ref="D8:E11"/>
    <mergeCell ref="F8:G11"/>
    <mergeCell ref="J8:L8"/>
    <mergeCell ref="N8:P8"/>
    <mergeCell ref="N9:P11"/>
    <mergeCell ref="J9:L11"/>
    <mergeCell ref="B5:B6"/>
    <mergeCell ref="D5:G5"/>
    <mergeCell ref="J5:L5"/>
    <mergeCell ref="N5:P5"/>
    <mergeCell ref="D6:G6"/>
    <mergeCell ref="J6:L6"/>
    <mergeCell ref="N6:P6"/>
    <mergeCell ref="R12:T12"/>
    <mergeCell ref="R15:T15"/>
    <mergeCell ref="R9:T9"/>
    <mergeCell ref="R10:T10"/>
    <mergeCell ref="R16:T16"/>
    <mergeCell ref="R5:T5"/>
    <mergeCell ref="R6:T6"/>
    <mergeCell ref="R7:T7"/>
    <mergeCell ref="R8:T8"/>
    <mergeCell ref="R11:T11"/>
    <mergeCell ref="V16:X16"/>
    <mergeCell ref="V5:X5"/>
    <mergeCell ref="V6:X6"/>
    <mergeCell ref="V7:X7"/>
    <mergeCell ref="V8:X8"/>
    <mergeCell ref="V9:X9"/>
    <mergeCell ref="V10:X10"/>
    <mergeCell ref="V11:X11"/>
    <mergeCell ref="V12:X12"/>
    <mergeCell ref="V15:X15"/>
  </mergeCells>
  <pageMargins left="0.59027777777777779" right="0.59027777777777779" top="0.78749999999999998" bottom="0.78749999999999998" header="0.51180555555555551" footer="0.51180555555555551"/>
  <pageSetup paperSize="9" scale="51" firstPageNumber="0" orientation="landscape" horizontalDpi="300" verticalDpi="3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A91C4-9EBD-4721-984A-86E9C8E694D8}">
  <sheetPr codeName="Plan39">
    <pageSetUpPr fitToPage="1"/>
  </sheetPr>
  <dimension ref="B4:X25"/>
  <sheetViews>
    <sheetView showGridLines="0" zoomScaleNormal="100" workbookViewId="0">
      <selection activeCell="N6" sqref="N6:P6"/>
    </sheetView>
  </sheetViews>
  <sheetFormatPr defaultColWidth="9.140625" defaultRowHeight="18" customHeight="1" x14ac:dyDescent="0.2"/>
  <cols>
    <col min="1" max="1" width="23.7109375" style="476" customWidth="1"/>
    <col min="2" max="3" width="6.42578125" style="476" customWidth="1"/>
    <col min="4" max="5" width="9.85546875" style="476" customWidth="1"/>
    <col min="6" max="6" width="12.85546875" style="476" customWidth="1"/>
    <col min="7" max="7" width="8.140625" style="476" customWidth="1"/>
    <col min="8" max="9" width="5" style="476" customWidth="1"/>
    <col min="10" max="11" width="11.42578125" style="476" customWidth="1"/>
    <col min="12" max="12" width="12.5703125" style="476" customWidth="1"/>
    <col min="13" max="13" width="9.140625" style="476"/>
    <col min="14" max="15" width="11.42578125" style="476" customWidth="1"/>
    <col min="16" max="16" width="12.140625" style="476" customWidth="1"/>
    <col min="17" max="17" width="9.140625" style="476"/>
    <col min="18" max="19" width="11.42578125" style="476" customWidth="1"/>
    <col min="20" max="20" width="16" style="476" customWidth="1"/>
    <col min="21" max="21" width="9.140625" style="476" customWidth="1"/>
    <col min="22" max="23" width="11.42578125" style="476" customWidth="1"/>
    <col min="24" max="24" width="15.42578125" style="476" customWidth="1"/>
    <col min="25" max="16384" width="9.140625" style="476"/>
  </cols>
  <sheetData>
    <row r="4" spans="2:24" ht="18" customHeight="1" thickBot="1" x14ac:dyDescent="0.25"/>
    <row r="5" spans="2:24" ht="18" customHeight="1" x14ac:dyDescent="0.2">
      <c r="B5" s="976" t="str">
        <f>IF(D6=60000,"&lt;===","")</f>
        <v/>
      </c>
      <c r="D5" s="977" t="s">
        <v>285</v>
      </c>
      <c r="E5" s="977"/>
      <c r="F5" s="977"/>
      <c r="G5" s="977"/>
      <c r="J5" s="967" t="s">
        <v>284</v>
      </c>
      <c r="K5" s="967"/>
      <c r="L5" s="967"/>
      <c r="M5" s="479"/>
      <c r="N5" s="967" t="s">
        <v>284</v>
      </c>
      <c r="O5" s="967"/>
      <c r="P5" s="967"/>
      <c r="Q5" s="479"/>
      <c r="R5" s="967" t="s">
        <v>343</v>
      </c>
      <c r="S5" s="967"/>
      <c r="T5" s="967"/>
      <c r="V5" s="967" t="s">
        <v>343</v>
      </c>
      <c r="W5" s="967"/>
      <c r="X5" s="967"/>
    </row>
    <row r="6" spans="2:24" ht="18" customHeight="1" x14ac:dyDescent="0.25">
      <c r="B6" s="976"/>
      <c r="D6" s="978">
        <v>2500</v>
      </c>
      <c r="E6" s="978"/>
      <c r="F6" s="978"/>
      <c r="G6" s="978"/>
      <c r="J6" s="968">
        <v>16</v>
      </c>
      <c r="K6" s="968"/>
      <c r="L6" s="968"/>
      <c r="M6" s="479"/>
      <c r="N6" s="968">
        <v>6</v>
      </c>
      <c r="O6" s="968"/>
      <c r="P6" s="968"/>
      <c r="Q6" s="479"/>
      <c r="R6" s="968">
        <v>19</v>
      </c>
      <c r="S6" s="968"/>
      <c r="T6" s="968"/>
      <c r="V6" s="968"/>
      <c r="W6" s="968"/>
      <c r="X6" s="968"/>
    </row>
    <row r="7" spans="2:24" ht="18" customHeight="1" thickBot="1" x14ac:dyDescent="0.25">
      <c r="B7" s="485"/>
      <c r="D7" s="484"/>
      <c r="J7" s="969" t="s">
        <v>283</v>
      </c>
      <c r="K7" s="969"/>
      <c r="L7" s="969"/>
      <c r="M7" s="479"/>
      <c r="N7" s="969" t="s">
        <v>283</v>
      </c>
      <c r="O7" s="969"/>
      <c r="P7" s="969"/>
      <c r="Q7" s="479"/>
      <c r="R7" s="969" t="s">
        <v>344</v>
      </c>
      <c r="S7" s="969"/>
      <c r="T7" s="969"/>
      <c r="V7" s="969" t="s">
        <v>344</v>
      </c>
      <c r="W7" s="969"/>
      <c r="X7" s="969"/>
    </row>
    <row r="8" spans="2:24" ht="18" customHeight="1" thickBot="1" x14ac:dyDescent="0.3">
      <c r="D8" s="979" t="s">
        <v>282</v>
      </c>
      <c r="E8" s="979"/>
      <c r="F8" s="980" t="s">
        <v>281</v>
      </c>
      <c r="G8" s="981"/>
      <c r="I8" s="554"/>
      <c r="J8" s="973">
        <v>13</v>
      </c>
      <c r="K8" s="970"/>
      <c r="L8" s="970"/>
      <c r="M8" s="479"/>
      <c r="N8" s="986">
        <v>15</v>
      </c>
      <c r="O8" s="986"/>
      <c r="P8" s="986"/>
      <c r="Q8" s="479"/>
      <c r="R8" s="970">
        <v>30</v>
      </c>
      <c r="S8" s="970"/>
      <c r="T8" s="970"/>
      <c r="V8" s="970"/>
      <c r="W8" s="970"/>
      <c r="X8" s="970"/>
    </row>
    <row r="9" spans="2:24" ht="18" customHeight="1" thickBot="1" x14ac:dyDescent="0.25">
      <c r="B9" s="478" t="str">
        <f>IF(D6=35000,"&lt;===","")</f>
        <v/>
      </c>
      <c r="D9" s="979"/>
      <c r="E9" s="979"/>
      <c r="F9" s="982"/>
      <c r="G9" s="983"/>
      <c r="I9" s="554"/>
      <c r="J9" s="996" t="s">
        <v>280</v>
      </c>
      <c r="K9" s="997"/>
      <c r="L9" s="998"/>
      <c r="M9" s="553"/>
      <c r="N9" s="987" t="s">
        <v>280</v>
      </c>
      <c r="O9" s="988"/>
      <c r="P9" s="989"/>
      <c r="Q9" s="479"/>
      <c r="R9" s="969" t="s">
        <v>345</v>
      </c>
      <c r="S9" s="969"/>
      <c r="T9" s="969"/>
      <c r="V9" s="969" t="s">
        <v>345</v>
      </c>
      <c r="W9" s="969"/>
      <c r="X9" s="969"/>
    </row>
    <row r="10" spans="2:24" ht="18" customHeight="1" thickBot="1" x14ac:dyDescent="0.3">
      <c r="B10" s="478"/>
      <c r="D10" s="979"/>
      <c r="E10" s="979"/>
      <c r="F10" s="982"/>
      <c r="G10" s="983"/>
      <c r="I10" s="554"/>
      <c r="J10" s="990"/>
      <c r="K10" s="991"/>
      <c r="L10" s="992"/>
      <c r="M10" s="553"/>
      <c r="N10" s="990"/>
      <c r="O10" s="991"/>
      <c r="P10" s="992"/>
      <c r="Q10" s="479"/>
      <c r="R10" s="971">
        <v>15</v>
      </c>
      <c r="S10" s="972"/>
      <c r="T10" s="973"/>
      <c r="V10" s="971"/>
      <c r="W10" s="972"/>
      <c r="X10" s="973"/>
    </row>
    <row r="11" spans="2:24" ht="18" customHeight="1" thickBot="1" x14ac:dyDescent="0.25">
      <c r="B11" s="478"/>
      <c r="D11" s="979"/>
      <c r="E11" s="979"/>
      <c r="F11" s="984"/>
      <c r="G11" s="985"/>
      <c r="I11" s="554"/>
      <c r="J11" s="999"/>
      <c r="K11" s="1000"/>
      <c r="L11" s="1001"/>
      <c r="M11" s="553"/>
      <c r="N11" s="993"/>
      <c r="O11" s="994"/>
      <c r="P11" s="995"/>
      <c r="Q11" s="479"/>
      <c r="R11" s="969" t="s">
        <v>280</v>
      </c>
      <c r="S11" s="969"/>
      <c r="T11" s="969"/>
      <c r="V11" s="969" t="s">
        <v>280</v>
      </c>
      <c r="W11" s="969"/>
      <c r="X11" s="969"/>
    </row>
    <row r="12" spans="2:24" ht="18" customHeight="1" thickBot="1" x14ac:dyDescent="0.3">
      <c r="D12" s="1003">
        <v>300.5</v>
      </c>
      <c r="E12" s="1003"/>
      <c r="F12" s="1004">
        <v>665</v>
      </c>
      <c r="G12" s="1004"/>
      <c r="H12" s="482"/>
      <c r="J12" s="974">
        <f>IF(D6=60000,1*J6,IF(D6=35000,3*J6,IF(D6=5000,5*J6,IF(D6=2500,8*J6,IF(D6=1000,12*J6,IF(D6=700,23*J6,""))))))</f>
        <v>128</v>
      </c>
      <c r="K12" s="974"/>
      <c r="L12" s="974"/>
      <c r="M12" s="479"/>
      <c r="N12" s="1005">
        <f>IF(D6=60000,3*N6,IF(D6=35000,3*N6,IF(D6=5000,5*N6,IF(D6=2500,8*N6,IF(D6=1000,12*N6,IF(D6=700,23*N6,""))))))</f>
        <v>48</v>
      </c>
      <c r="O12" s="1005"/>
      <c r="P12" s="1005"/>
      <c r="Q12" s="479"/>
      <c r="R12" s="974">
        <f>IF(D6=60000,3*R6,IF(D6=35000,3*R6,IF(D6=5000,5*R6,IF(D6=2500,8*R6,IF(D6=1000,12*R6,IF(D6=700,23*R6,""))))))</f>
        <v>152</v>
      </c>
      <c r="S12" s="974"/>
      <c r="T12" s="974"/>
      <c r="V12" s="974">
        <f>IF(D6=60000,3*V6,IF(D6=35000,3*V6,IF(D6=5000,5*V6,IF(D6=2500,8*V6,IF(D6=1000,12*V6,IF(D6=700,23*V6,""))))))</f>
        <v>0</v>
      </c>
      <c r="W12" s="974"/>
      <c r="X12" s="974"/>
    </row>
    <row r="13" spans="2:24" ht="18" customHeight="1" thickBot="1" x14ac:dyDescent="0.3">
      <c r="B13" s="478" t="str">
        <f>IF(D6=5000,"&lt;===","")</f>
        <v/>
      </c>
      <c r="D13" s="1003"/>
      <c r="E13" s="1003"/>
      <c r="F13" s="1004"/>
      <c r="G13" s="1004"/>
      <c r="H13" s="482"/>
      <c r="J13" s="481"/>
      <c r="K13" s="120"/>
      <c r="L13" s="480"/>
      <c r="M13" s="479"/>
      <c r="N13" s="481"/>
      <c r="O13" s="120"/>
      <c r="P13" s="480"/>
      <c r="Q13" s="479"/>
      <c r="R13" s="481"/>
      <c r="S13" s="120"/>
      <c r="T13" s="480"/>
      <c r="V13" s="481"/>
      <c r="W13" s="120"/>
      <c r="X13" s="480"/>
    </row>
    <row r="14" spans="2:24" ht="18" customHeight="1" x14ac:dyDescent="0.25">
      <c r="B14" s="478"/>
      <c r="D14" s="483"/>
      <c r="E14" s="483"/>
      <c r="F14" s="483"/>
      <c r="G14" s="483"/>
      <c r="H14" s="482"/>
      <c r="J14" s="481"/>
      <c r="K14" s="120"/>
      <c r="L14" s="480"/>
      <c r="M14" s="479"/>
      <c r="N14" s="481"/>
      <c r="O14" s="120"/>
      <c r="P14" s="480"/>
      <c r="Q14" s="479"/>
      <c r="R14" s="481"/>
      <c r="S14" s="120"/>
      <c r="T14" s="480"/>
      <c r="V14" s="481"/>
      <c r="W14" s="120"/>
      <c r="X14" s="480"/>
    </row>
    <row r="15" spans="2:24" ht="18" customHeight="1" x14ac:dyDescent="0.25">
      <c r="B15" s="478"/>
      <c r="D15" s="977" t="s">
        <v>279</v>
      </c>
      <c r="E15" s="977"/>
      <c r="F15" s="977"/>
      <c r="G15" s="977"/>
      <c r="J15" s="975" t="s">
        <v>278</v>
      </c>
      <c r="K15" s="975"/>
      <c r="L15" s="975"/>
      <c r="M15" s="479"/>
      <c r="N15" s="975" t="s">
        <v>278</v>
      </c>
      <c r="O15" s="975"/>
      <c r="P15" s="975"/>
      <c r="Q15" s="479"/>
      <c r="R15" s="975" t="s">
        <v>278</v>
      </c>
      <c r="S15" s="975"/>
      <c r="T15" s="975"/>
      <c r="V15" s="975" t="s">
        <v>278</v>
      </c>
      <c r="W15" s="975"/>
      <c r="X15" s="975"/>
    </row>
    <row r="16" spans="2:24" ht="18" customHeight="1" thickBot="1" x14ac:dyDescent="0.3">
      <c r="B16" s="478" t="str">
        <f>IF(D6=2500,"&lt;===","")</f>
        <v>&lt;===</v>
      </c>
      <c r="D16" s="1008">
        <f>(D12*2)+(F12*2)</f>
        <v>1931</v>
      </c>
      <c r="E16" s="1008"/>
      <c r="F16" s="1008"/>
      <c r="G16" s="1008"/>
      <c r="J16" s="966">
        <f>(J6*J8)*3.14</f>
        <v>653.12</v>
      </c>
      <c r="K16" s="966"/>
      <c r="L16" s="966"/>
      <c r="M16" s="479"/>
      <c r="N16" s="966">
        <f>(N6*N8)*3.14</f>
        <v>282.60000000000002</v>
      </c>
      <c r="O16" s="966"/>
      <c r="P16" s="966"/>
      <c r="Q16" s="479"/>
      <c r="R16" s="966">
        <f>R6*(2*3.14*(R10/2))+(2*R8)</f>
        <v>954.9</v>
      </c>
      <c r="S16" s="966"/>
      <c r="T16" s="966"/>
      <c r="V16" s="966">
        <f>V6*(2*3.14*(V10/2))+(2*V8)</f>
        <v>0</v>
      </c>
      <c r="W16" s="966"/>
      <c r="X16" s="966"/>
    </row>
    <row r="17" spans="2:12" ht="18" customHeight="1" x14ac:dyDescent="0.2">
      <c r="B17" s="478"/>
    </row>
    <row r="18" spans="2:12" ht="18" customHeight="1" x14ac:dyDescent="0.2">
      <c r="B18" s="478"/>
    </row>
    <row r="19" spans="2:12" ht="18" customHeight="1" x14ac:dyDescent="0.2">
      <c r="B19" s="478" t="str">
        <f>IF(D6=1000,"&lt;===","")</f>
        <v/>
      </c>
    </row>
    <row r="20" spans="2:12" ht="18" customHeight="1" thickBot="1" x14ac:dyDescent="0.25">
      <c r="B20" s="478"/>
    </row>
    <row r="21" spans="2:12" ht="18" customHeight="1" x14ac:dyDescent="0.25">
      <c r="B21" s="477"/>
      <c r="D21" s="1002" t="s">
        <v>277</v>
      </c>
      <c r="E21" s="1002"/>
      <c r="F21" s="1002"/>
      <c r="G21" s="1002"/>
      <c r="I21" s="1002" t="s">
        <v>277</v>
      </c>
      <c r="J21" s="1002"/>
      <c r="K21" s="1002"/>
      <c r="L21" s="1002"/>
    </row>
    <row r="22" spans="2:12" ht="18" customHeight="1" thickBot="1" x14ac:dyDescent="0.3">
      <c r="D22" s="1006">
        <f>ROUNDUP((((D16+J16+N16+R16+V16)*60)/D6)+10+J12+N12+R12+V12,0)</f>
        <v>430</v>
      </c>
      <c r="E22" s="1006"/>
      <c r="F22" s="1006"/>
      <c r="G22" s="1006"/>
      <c r="H22" s="475"/>
      <c r="I22" s="1007">
        <f>ROUND(D22/60,2)</f>
        <v>7.17</v>
      </c>
      <c r="J22" s="1007"/>
      <c r="K22" s="1007"/>
      <c r="L22" s="1007"/>
    </row>
    <row r="23" spans="2:12" ht="18" customHeight="1" thickBot="1" x14ac:dyDescent="0.3">
      <c r="B23" s="478" t="str">
        <f>IF(D6=700,"&lt;===","")</f>
        <v/>
      </c>
      <c r="D23" s="1006"/>
      <c r="E23" s="1006"/>
      <c r="F23" s="1006"/>
      <c r="G23" s="1006"/>
      <c r="H23" s="475"/>
      <c r="I23" s="1007"/>
      <c r="J23" s="1007"/>
      <c r="K23" s="1007"/>
      <c r="L23" s="1007"/>
    </row>
    <row r="25" spans="2:12" ht="18" customHeight="1" x14ac:dyDescent="0.2">
      <c r="E25" s="474"/>
    </row>
  </sheetData>
  <sheetProtection algorithmName="SHA-512" hashValue="3NNn90sHpeucyYOzIfMfJ/Ip7MRLRTvSoczUkUlbeGAZr/uMT48TtW11erFr8WOENu6Df21WZqHuQPYP0TBphQ==" saltValue="ZEc/CbwSUOOo3dW7TQAiBw==" spinCount="100000" sheet="1" objects="1" scenarios="1" selectLockedCells="1"/>
  <mergeCells count="49">
    <mergeCell ref="R5:T5"/>
    <mergeCell ref="V5:X5"/>
    <mergeCell ref="D6:G6"/>
    <mergeCell ref="J6:L6"/>
    <mergeCell ref="N6:P6"/>
    <mergeCell ref="R6:T6"/>
    <mergeCell ref="V6:X6"/>
    <mergeCell ref="D8:E11"/>
    <mergeCell ref="F8:G11"/>
    <mergeCell ref="J8:L8"/>
    <mergeCell ref="N8:P8"/>
    <mergeCell ref="B5:B6"/>
    <mergeCell ref="D5:G5"/>
    <mergeCell ref="J5:L5"/>
    <mergeCell ref="N5:P5"/>
    <mergeCell ref="J7:L7"/>
    <mergeCell ref="N7:P7"/>
    <mergeCell ref="R7:T7"/>
    <mergeCell ref="V7:X7"/>
    <mergeCell ref="R8:T8"/>
    <mergeCell ref="V8:X8"/>
    <mergeCell ref="J9:L11"/>
    <mergeCell ref="N9:P11"/>
    <mergeCell ref="R9:T9"/>
    <mergeCell ref="V9:X9"/>
    <mergeCell ref="R10:T10"/>
    <mergeCell ref="V10:X10"/>
    <mergeCell ref="R11:T11"/>
    <mergeCell ref="V11:X11"/>
    <mergeCell ref="N16:P16"/>
    <mergeCell ref="R16:T16"/>
    <mergeCell ref="V16:X16"/>
    <mergeCell ref="V12:X12"/>
    <mergeCell ref="D15:G15"/>
    <mergeCell ref="J15:L15"/>
    <mergeCell ref="N15:P15"/>
    <mergeCell ref="R15:T15"/>
    <mergeCell ref="V15:X15"/>
    <mergeCell ref="D12:E13"/>
    <mergeCell ref="F12:G13"/>
    <mergeCell ref="J12:L12"/>
    <mergeCell ref="N12:P12"/>
    <mergeCell ref="R12:T12"/>
    <mergeCell ref="D21:G21"/>
    <mergeCell ref="I21:L21"/>
    <mergeCell ref="D22:G23"/>
    <mergeCell ref="I22:L23"/>
    <mergeCell ref="D16:G16"/>
    <mergeCell ref="J16:L16"/>
  </mergeCells>
  <pageMargins left="0.59027777777777779" right="0.59027777777777779" top="0.78749999999999998" bottom="0.78749999999999998" header="0.51180555555555551" footer="0.51180555555555551"/>
  <pageSetup paperSize="9" scale="51" firstPageNumber="0" orientation="landscape" horizontalDpi="300" verticalDpi="3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Plan37">
    <pageSetUpPr fitToPage="1"/>
  </sheetPr>
  <dimension ref="B4:P23"/>
  <sheetViews>
    <sheetView showGridLines="0" showRowColHeaders="0" zoomScaleNormal="100" workbookViewId="0">
      <selection activeCell="F10" sqref="F10:G11"/>
    </sheetView>
  </sheetViews>
  <sheetFormatPr defaultColWidth="9.140625" defaultRowHeight="18" customHeight="1" x14ac:dyDescent="0.2"/>
  <cols>
    <col min="1" max="1" width="23.7109375" style="476" customWidth="1"/>
    <col min="2" max="3" width="6.42578125" style="476" customWidth="1"/>
    <col min="4" max="5" width="9.85546875" style="476" customWidth="1"/>
    <col min="6" max="6" width="12.85546875" style="476" customWidth="1"/>
    <col min="7" max="7" width="8.140625" style="476" customWidth="1"/>
    <col min="8" max="9" width="5" style="476" customWidth="1"/>
    <col min="10" max="11" width="11.42578125" style="476" customWidth="1"/>
    <col min="12" max="12" width="12.5703125" style="476" customWidth="1"/>
    <col min="13" max="13" width="9.140625" style="476"/>
    <col min="14" max="15" width="11.42578125" style="476" customWidth="1"/>
    <col min="16" max="16" width="12.140625" style="476" customWidth="1"/>
    <col min="17" max="16384" width="9.140625" style="476"/>
  </cols>
  <sheetData>
    <row r="4" spans="2:16" ht="18" customHeight="1" thickBot="1" x14ac:dyDescent="0.25"/>
    <row r="5" spans="2:16" ht="18" customHeight="1" x14ac:dyDescent="0.2">
      <c r="B5" s="976" t="str">
        <f>IF(D6=5000,"&lt;===","")</f>
        <v/>
      </c>
      <c r="D5" s="977" t="s">
        <v>285</v>
      </c>
      <c r="E5" s="977"/>
      <c r="F5" s="977"/>
      <c r="G5" s="977"/>
      <c r="J5" s="967" t="s">
        <v>284</v>
      </c>
      <c r="K5" s="967"/>
      <c r="L5" s="967"/>
      <c r="M5" s="479"/>
      <c r="N5" s="967" t="s">
        <v>284</v>
      </c>
      <c r="O5" s="967"/>
      <c r="P5" s="967"/>
    </row>
    <row r="6" spans="2:16" ht="18" customHeight="1" x14ac:dyDescent="0.25">
      <c r="B6" s="976"/>
      <c r="D6" s="978">
        <v>4000</v>
      </c>
      <c r="E6" s="978"/>
      <c r="F6" s="978"/>
      <c r="G6" s="978"/>
      <c r="J6" s="968"/>
      <c r="K6" s="968"/>
      <c r="L6" s="968"/>
      <c r="M6" s="479"/>
      <c r="N6" s="968"/>
      <c r="O6" s="968"/>
      <c r="P6" s="968"/>
    </row>
    <row r="7" spans="2:16" ht="18" customHeight="1" thickBot="1" x14ac:dyDescent="0.25">
      <c r="B7" s="485"/>
      <c r="D7" s="484"/>
      <c r="J7" s="969" t="s">
        <v>283</v>
      </c>
      <c r="K7" s="969"/>
      <c r="L7" s="969"/>
      <c r="M7" s="479"/>
      <c r="N7" s="969" t="s">
        <v>283</v>
      </c>
      <c r="O7" s="969"/>
      <c r="P7" s="969"/>
    </row>
    <row r="8" spans="2:16" ht="18" customHeight="1" thickBot="1" x14ac:dyDescent="0.3">
      <c r="B8" s="976" t="str">
        <f>IF(D6=4000,"&lt;===","")</f>
        <v>&lt;===</v>
      </c>
      <c r="D8" s="979" t="s">
        <v>282</v>
      </c>
      <c r="E8" s="979"/>
      <c r="F8" s="980" t="s">
        <v>281</v>
      </c>
      <c r="G8" s="981"/>
      <c r="J8" s="970"/>
      <c r="K8" s="970"/>
      <c r="L8" s="970"/>
      <c r="M8" s="479"/>
      <c r="N8" s="970"/>
      <c r="O8" s="970"/>
      <c r="P8" s="970"/>
    </row>
    <row r="9" spans="2:16" ht="18" customHeight="1" x14ac:dyDescent="0.2">
      <c r="B9" s="976"/>
      <c r="D9" s="979"/>
      <c r="E9" s="979"/>
      <c r="F9" s="984"/>
      <c r="G9" s="985"/>
      <c r="J9" s="969" t="s">
        <v>280</v>
      </c>
      <c r="K9" s="969"/>
      <c r="L9" s="969"/>
      <c r="M9" s="479"/>
      <c r="N9" s="969" t="s">
        <v>280</v>
      </c>
      <c r="O9" s="969"/>
      <c r="P9" s="969"/>
    </row>
    <row r="10" spans="2:16" ht="18" customHeight="1" thickBot="1" x14ac:dyDescent="0.3">
      <c r="B10" s="976" t="str">
        <f>IF(D6=2000,"&lt;===","")</f>
        <v/>
      </c>
      <c r="D10" s="1003">
        <v>1000</v>
      </c>
      <c r="E10" s="1003"/>
      <c r="F10" s="1004">
        <v>3100</v>
      </c>
      <c r="G10" s="1004"/>
      <c r="H10" s="482"/>
      <c r="J10" s="974">
        <f>IF(D6=5000,3*J6,IF(D6=4000,5*J6,IF(D6=2000,8*J6,IF(D6=1000,12*J6,IF(D6=700,23*J6,"")))))</f>
        <v>0</v>
      </c>
      <c r="K10" s="974"/>
      <c r="L10" s="974"/>
      <c r="M10" s="479"/>
      <c r="N10" s="974">
        <f>IF(D6=5000,3*N6,IF(D6=4000,5*N6,IF(D6=2000,8*N6,IF(D6=1000,12*N6,IF(D6=700,23*N6,"")))))</f>
        <v>0</v>
      </c>
      <c r="O10" s="974"/>
      <c r="P10" s="974"/>
    </row>
    <row r="11" spans="2:16" ht="18" customHeight="1" thickBot="1" x14ac:dyDescent="0.3">
      <c r="B11" s="976"/>
      <c r="D11" s="1003"/>
      <c r="E11" s="1003"/>
      <c r="F11" s="1004"/>
      <c r="G11" s="1004"/>
      <c r="H11" s="482"/>
      <c r="J11" s="481"/>
      <c r="K11" s="120"/>
      <c r="L11" s="480"/>
      <c r="M11" s="479"/>
      <c r="N11" s="481"/>
      <c r="O11" s="120"/>
      <c r="P11" s="480"/>
    </row>
    <row r="12" spans="2:16" ht="18" customHeight="1" x14ac:dyDescent="0.25">
      <c r="B12" s="976"/>
      <c r="D12" s="483"/>
      <c r="E12" s="483"/>
      <c r="F12" s="483"/>
      <c r="G12" s="483"/>
      <c r="H12" s="482"/>
      <c r="J12" s="481"/>
      <c r="K12" s="120"/>
      <c r="L12" s="480"/>
      <c r="M12" s="479"/>
      <c r="N12" s="481"/>
      <c r="O12" s="120"/>
      <c r="P12" s="480"/>
    </row>
    <row r="13" spans="2:16" ht="18" customHeight="1" x14ac:dyDescent="0.25">
      <c r="B13" s="976"/>
      <c r="D13" s="977" t="s">
        <v>279</v>
      </c>
      <c r="E13" s="977"/>
      <c r="F13" s="977"/>
      <c r="G13" s="977"/>
      <c r="J13" s="975" t="s">
        <v>278</v>
      </c>
      <c r="K13" s="975"/>
      <c r="L13" s="975"/>
      <c r="M13" s="479"/>
      <c r="N13" s="975" t="s">
        <v>278</v>
      </c>
      <c r="O13" s="975"/>
      <c r="P13" s="975"/>
    </row>
    <row r="14" spans="2:16" ht="18" customHeight="1" thickBot="1" x14ac:dyDescent="0.3">
      <c r="B14" s="976" t="str">
        <f>IF(D6=1000,"&lt;===","")</f>
        <v/>
      </c>
      <c r="D14" s="1008">
        <f>(D10*2)+(F10*2)</f>
        <v>8200</v>
      </c>
      <c r="E14" s="1008"/>
      <c r="F14" s="1008"/>
      <c r="G14" s="1008"/>
      <c r="J14" s="966">
        <f>(J6*J8)*3.14</f>
        <v>0</v>
      </c>
      <c r="K14" s="966"/>
      <c r="L14" s="966"/>
      <c r="M14" s="479"/>
      <c r="N14" s="966">
        <f>(N6*N8)*3.14</f>
        <v>0</v>
      </c>
      <c r="O14" s="966"/>
      <c r="P14" s="966"/>
    </row>
    <row r="15" spans="2:16" ht="18" customHeight="1" x14ac:dyDescent="0.2">
      <c r="B15" s="976"/>
    </row>
    <row r="16" spans="2:16" ht="18" customHeight="1" x14ac:dyDescent="0.2">
      <c r="B16" s="478"/>
    </row>
    <row r="17" spans="2:12" ht="18" customHeight="1" x14ac:dyDescent="0.2">
      <c r="B17" s="976" t="str">
        <f>IF(D6=700,"&lt;===","")</f>
        <v/>
      </c>
    </row>
    <row r="18" spans="2:12" ht="18" customHeight="1" thickBot="1" x14ac:dyDescent="0.25">
      <c r="B18" s="976"/>
    </row>
    <row r="19" spans="2:12" ht="18" customHeight="1" x14ac:dyDescent="0.25">
      <c r="B19" s="477"/>
      <c r="D19" s="1002" t="s">
        <v>277</v>
      </c>
      <c r="E19" s="1002"/>
      <c r="F19" s="1002"/>
      <c r="G19" s="1002"/>
      <c r="I19" s="1002" t="s">
        <v>277</v>
      </c>
      <c r="J19" s="1002"/>
      <c r="K19" s="1002"/>
      <c r="L19" s="1002"/>
    </row>
    <row r="20" spans="2:12" ht="18" customHeight="1" thickBot="1" x14ac:dyDescent="0.3">
      <c r="D20" s="1006">
        <f>ROUNDUP((((D14+J14+N14)*60)/D6)+15+J10+N10,0)</f>
        <v>138</v>
      </c>
      <c r="E20" s="1006"/>
      <c r="F20" s="1006"/>
      <c r="G20" s="1006"/>
      <c r="H20" s="475"/>
      <c r="I20" s="1007">
        <f>ROUND(D20/60,2)</f>
        <v>2.2999999999999998</v>
      </c>
      <c r="J20" s="1007"/>
      <c r="K20" s="1007"/>
      <c r="L20" s="1007"/>
    </row>
    <row r="21" spans="2:12" ht="18" customHeight="1" thickBot="1" x14ac:dyDescent="0.3">
      <c r="D21" s="1006"/>
      <c r="E21" s="1006"/>
      <c r="F21" s="1006"/>
      <c r="G21" s="1006"/>
      <c r="H21" s="475"/>
      <c r="I21" s="1007"/>
      <c r="J21" s="1007"/>
      <c r="K21" s="1007"/>
      <c r="L21" s="1007"/>
    </row>
    <row r="23" spans="2:12" ht="18" customHeight="1" x14ac:dyDescent="0.2">
      <c r="E23" s="474"/>
    </row>
  </sheetData>
  <sheetProtection algorithmName="SHA-512" hashValue="UZWmJnJhinybeV0mSbtt8B7tg/GLvDuDieLgDLRu65FdVzv7fbfNNqN/vYqdXWiLG72DIaTvW5+u9DstD9yoVg==" saltValue="znaIPCe/jxScaEOK7WMBjQ==" spinCount="100000" sheet="1" objects="1" scenarios="1" selectLockedCells="1"/>
  <mergeCells count="33">
    <mergeCell ref="B5:B6"/>
    <mergeCell ref="D5:G5"/>
    <mergeCell ref="J5:L5"/>
    <mergeCell ref="N5:P5"/>
    <mergeCell ref="D6:G6"/>
    <mergeCell ref="J6:L6"/>
    <mergeCell ref="N6:P6"/>
    <mergeCell ref="J7:L7"/>
    <mergeCell ref="N7:P7"/>
    <mergeCell ref="B8:B9"/>
    <mergeCell ref="D8:E9"/>
    <mergeCell ref="F8:G9"/>
    <mergeCell ref="J8:L8"/>
    <mergeCell ref="N8:P8"/>
    <mergeCell ref="J9:L9"/>
    <mergeCell ref="N9:P9"/>
    <mergeCell ref="D20:G21"/>
    <mergeCell ref="I20:L21"/>
    <mergeCell ref="B14:B15"/>
    <mergeCell ref="D14:G14"/>
    <mergeCell ref="J14:L14"/>
    <mergeCell ref="N14:P14"/>
    <mergeCell ref="B17:B18"/>
    <mergeCell ref="D19:G19"/>
    <mergeCell ref="I19:L19"/>
    <mergeCell ref="B10:B13"/>
    <mergeCell ref="D10:E11"/>
    <mergeCell ref="F10:G11"/>
    <mergeCell ref="J10:L10"/>
    <mergeCell ref="N10:P10"/>
    <mergeCell ref="D13:G13"/>
    <mergeCell ref="J13:L13"/>
    <mergeCell ref="N13:P13"/>
  </mergeCells>
  <pageMargins left="0.59027777777777779" right="0.59027777777777779" top="0.78749999999999998" bottom="0.78749999999999998" header="0.51180555555555551" footer="0.51180555555555551"/>
  <pageSetup paperSize="9" scale="80" firstPageNumber="0" orientation="landscape" horizontalDpi="300" verticalDpi="3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17B5-F363-49A6-BAD7-C59F774EE350}">
  <sheetPr codeName="Planilha1"/>
  <dimension ref="A1:H17"/>
  <sheetViews>
    <sheetView showGridLines="0" showRowColHeaders="0" zoomScaleNormal="100" workbookViewId="0">
      <selection activeCell="F36" sqref="F36"/>
    </sheetView>
  </sheetViews>
  <sheetFormatPr defaultRowHeight="15" x14ac:dyDescent="0.25"/>
  <cols>
    <col min="1" max="1" width="2.140625" customWidth="1"/>
    <col min="6" max="6" width="11.85546875" bestFit="1" customWidth="1"/>
  </cols>
  <sheetData>
    <row r="1" spans="1:8" x14ac:dyDescent="0.25">
      <c r="A1" s="442"/>
    </row>
    <row r="9" spans="1:8" x14ac:dyDescent="0.25">
      <c r="B9" s="1009">
        <v>3</v>
      </c>
      <c r="C9" s="1009"/>
      <c r="D9" s="1009"/>
      <c r="F9" s="1009">
        <v>3</v>
      </c>
      <c r="G9" s="1009"/>
      <c r="H9" s="1009"/>
    </row>
    <row r="10" spans="1:8" x14ac:dyDescent="0.25">
      <c r="B10" s="1009"/>
      <c r="C10" s="1009"/>
      <c r="D10" s="1009"/>
      <c r="F10" s="1009"/>
      <c r="G10" s="1009"/>
      <c r="H10" s="1009"/>
    </row>
    <row r="11" spans="1:8" x14ac:dyDescent="0.25">
      <c r="B11" s="1009"/>
      <c r="C11" s="1009"/>
      <c r="D11" s="1009"/>
      <c r="F11" s="1009"/>
      <c r="G11" s="1009"/>
      <c r="H11" s="1009"/>
    </row>
    <row r="14" spans="1:8" x14ac:dyDescent="0.25">
      <c r="C14" s="1010" t="s">
        <v>328</v>
      </c>
      <c r="D14" s="1010"/>
      <c r="E14" s="1010"/>
      <c r="F14" s="1010"/>
      <c r="G14" s="1010"/>
    </row>
    <row r="15" spans="1:8" x14ac:dyDescent="0.25">
      <c r="C15" s="1011"/>
      <c r="D15" s="1011"/>
      <c r="E15" s="1011"/>
      <c r="F15" s="1011"/>
      <c r="G15" s="1011"/>
    </row>
    <row r="16" spans="1:8" x14ac:dyDescent="0.25">
      <c r="C16" s="1012">
        <f>(1/4)+(9/160)*(F9/B9)</f>
        <v>0.30625000000000002</v>
      </c>
      <c r="D16" s="1012"/>
      <c r="E16" s="1012"/>
      <c r="F16" s="1012"/>
      <c r="G16" s="1012"/>
    </row>
    <row r="17" spans="3:7" x14ac:dyDescent="0.25">
      <c r="C17" s="1012"/>
      <c r="D17" s="1012"/>
      <c r="E17" s="1012"/>
      <c r="F17" s="1012"/>
      <c r="G17" s="1012"/>
    </row>
  </sheetData>
  <mergeCells count="4">
    <mergeCell ref="B9:D11"/>
    <mergeCell ref="F9:H11"/>
    <mergeCell ref="C14:G15"/>
    <mergeCell ref="C16:G17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61A9-8768-4CBE-9165-99918E3697D0}">
  <sheetPr codeName="Planilha2"/>
  <dimension ref="A1:T23"/>
  <sheetViews>
    <sheetView showGridLines="0" showRowColHeaders="0" zoomScaleNormal="100" workbookViewId="0">
      <selection activeCell="B9" sqref="B9:D11"/>
    </sheetView>
  </sheetViews>
  <sheetFormatPr defaultRowHeight="15" x14ac:dyDescent="0.25"/>
  <cols>
    <col min="1" max="1" width="2.140625" customWidth="1"/>
    <col min="6" max="6" width="11.85546875" bestFit="1" customWidth="1"/>
  </cols>
  <sheetData>
    <row r="1" spans="1:20" x14ac:dyDescent="0.25">
      <c r="A1" s="442"/>
    </row>
    <row r="9" spans="1:20" x14ac:dyDescent="0.25">
      <c r="B9" s="1009">
        <v>10000</v>
      </c>
      <c r="C9" s="1009"/>
      <c r="D9" s="1009"/>
      <c r="F9" s="1009">
        <v>1.55</v>
      </c>
      <c r="G9" s="1009"/>
      <c r="H9" s="1009"/>
      <c r="J9" s="1009">
        <v>1000</v>
      </c>
      <c r="K9" s="1009"/>
      <c r="L9" s="1009"/>
      <c r="N9" s="1009">
        <v>45</v>
      </c>
      <c r="O9" s="1009"/>
      <c r="P9" s="1009"/>
      <c r="R9" s="1009">
        <v>25</v>
      </c>
      <c r="S9" s="1009"/>
      <c r="T9" s="1009"/>
    </row>
    <row r="10" spans="1:20" x14ac:dyDescent="0.25">
      <c r="B10" s="1009"/>
      <c r="C10" s="1009"/>
      <c r="D10" s="1009"/>
      <c r="F10" s="1009"/>
      <c r="G10" s="1009"/>
      <c r="H10" s="1009"/>
      <c r="J10" s="1009"/>
      <c r="K10" s="1009"/>
      <c r="L10" s="1009"/>
      <c r="N10" s="1009"/>
      <c r="O10" s="1009"/>
      <c r="P10" s="1009"/>
      <c r="R10" s="1009"/>
      <c r="S10" s="1009"/>
      <c r="T10" s="1009"/>
    </row>
    <row r="11" spans="1:20" x14ac:dyDescent="0.25">
      <c r="B11" s="1009"/>
      <c r="C11" s="1009"/>
      <c r="D11" s="1009"/>
      <c r="F11" s="1009"/>
      <c r="G11" s="1009"/>
      <c r="H11" s="1009"/>
      <c r="J11" s="1009"/>
      <c r="K11" s="1009"/>
      <c r="L11" s="1009"/>
      <c r="N11" s="1009"/>
      <c r="O11" s="1009"/>
      <c r="P11" s="1009"/>
      <c r="R11" s="1009"/>
      <c r="S11" s="1009"/>
      <c r="T11" s="1009"/>
    </row>
    <row r="14" spans="1:20" ht="15" customHeight="1" x14ac:dyDescent="0.25">
      <c r="C14" s="1014" t="s">
        <v>334</v>
      </c>
      <c r="D14" s="1015"/>
      <c r="E14" s="1015"/>
      <c r="F14" s="1015"/>
      <c r="G14" s="1016"/>
      <c r="H14" s="442"/>
      <c r="O14" s="1014" t="s">
        <v>332</v>
      </c>
      <c r="P14" s="1015"/>
      <c r="Q14" s="1015"/>
      <c r="R14" s="1015"/>
      <c r="S14" s="1016"/>
    </row>
    <row r="15" spans="1:20" ht="15" customHeight="1" x14ac:dyDescent="0.25">
      <c r="C15" s="1017"/>
      <c r="D15" s="1018"/>
      <c r="E15" s="1018"/>
      <c r="F15" s="1018"/>
      <c r="G15" s="1019"/>
      <c r="H15" s="442"/>
      <c r="O15" s="1017"/>
      <c r="P15" s="1018"/>
      <c r="Q15" s="1018"/>
      <c r="R15" s="1018"/>
      <c r="S15" s="1019"/>
    </row>
    <row r="16" spans="1:20" ht="15" customHeight="1" x14ac:dyDescent="0.25">
      <c r="C16" s="1013">
        <f>((B9/(((F9/1000)*(J9/1000))*7850))*1000)</f>
        <v>821861.5163344976</v>
      </c>
      <c r="D16" s="1013"/>
      <c r="E16" s="1013"/>
      <c r="F16" s="1013"/>
      <c r="G16" s="1013"/>
      <c r="H16" s="442"/>
      <c r="I16" s="1014" t="s">
        <v>331</v>
      </c>
      <c r="J16" s="1015"/>
      <c r="K16" s="1015"/>
      <c r="L16" s="1015"/>
      <c r="M16" s="1016"/>
      <c r="O16" s="1013">
        <f>(J9-30)/N9</f>
        <v>21.555555555555557</v>
      </c>
      <c r="P16" s="1013"/>
      <c r="Q16" s="1013"/>
      <c r="R16" s="1013"/>
      <c r="S16" s="1013"/>
    </row>
    <row r="17" spans="3:19" ht="15" customHeight="1" x14ac:dyDescent="0.25">
      <c r="C17" s="1013"/>
      <c r="D17" s="1013"/>
      <c r="E17" s="1013"/>
      <c r="F17" s="1013"/>
      <c r="G17" s="1013"/>
      <c r="H17" s="442"/>
      <c r="I17" s="1017"/>
      <c r="J17" s="1018"/>
      <c r="K17" s="1018"/>
      <c r="L17" s="1018"/>
      <c r="M17" s="1019"/>
      <c r="O17" s="1013"/>
      <c r="P17" s="1013"/>
      <c r="Q17" s="1013"/>
      <c r="R17" s="1013"/>
      <c r="S17" s="1013"/>
    </row>
    <row r="18" spans="3:19" x14ac:dyDescent="0.25">
      <c r="C18" s="442"/>
      <c r="D18" s="442"/>
      <c r="E18" s="442"/>
      <c r="F18" s="442"/>
      <c r="G18" s="442"/>
      <c r="H18" s="442"/>
      <c r="I18" s="1020">
        <f>B9/O21</f>
        <v>1.4485119047619049E-2</v>
      </c>
      <c r="J18" s="1021"/>
      <c r="K18" s="1021"/>
      <c r="L18" s="1021"/>
      <c r="M18" s="1022"/>
      <c r="O18" s="442"/>
      <c r="P18" s="442"/>
      <c r="Q18" s="442"/>
      <c r="R18" s="442"/>
      <c r="S18" s="442"/>
    </row>
    <row r="19" spans="3:19" x14ac:dyDescent="0.25">
      <c r="C19" s="1010" t="s">
        <v>330</v>
      </c>
      <c r="D19" s="1010"/>
      <c r="E19" s="1010"/>
      <c r="F19" s="1010"/>
      <c r="G19" s="1010"/>
      <c r="H19" s="442"/>
      <c r="I19" s="1020"/>
      <c r="J19" s="1021"/>
      <c r="K19" s="1021"/>
      <c r="L19" s="1021"/>
      <c r="M19" s="1022"/>
      <c r="O19" s="1010" t="s">
        <v>333</v>
      </c>
      <c r="P19" s="1010"/>
      <c r="Q19" s="1010"/>
      <c r="R19" s="1010"/>
      <c r="S19" s="1010"/>
    </row>
    <row r="20" spans="3:19" x14ac:dyDescent="0.25">
      <c r="C20" s="1011"/>
      <c r="D20" s="1011"/>
      <c r="E20" s="1011"/>
      <c r="F20" s="1011"/>
      <c r="G20" s="1011"/>
      <c r="H20" s="442"/>
      <c r="O20" s="1011"/>
      <c r="P20" s="1011"/>
      <c r="Q20" s="1011"/>
      <c r="R20" s="1011"/>
      <c r="S20" s="1011"/>
    </row>
    <row r="21" spans="3:19" x14ac:dyDescent="0.25">
      <c r="C21" s="1013">
        <f>C16/R9</f>
        <v>32874.460653379901</v>
      </c>
      <c r="D21" s="1013"/>
      <c r="E21" s="1013"/>
      <c r="F21" s="1013"/>
      <c r="G21" s="1013"/>
      <c r="H21" s="442"/>
      <c r="O21" s="1013">
        <f>C21*INT(O16)</f>
        <v>690363.67372097797</v>
      </c>
      <c r="P21" s="1013"/>
      <c r="Q21" s="1013"/>
      <c r="R21" s="1013"/>
      <c r="S21" s="1013"/>
    </row>
    <row r="22" spans="3:19" ht="15" customHeight="1" x14ac:dyDescent="0.25">
      <c r="C22" s="1013"/>
      <c r="D22" s="1013"/>
      <c r="E22" s="1013"/>
      <c r="F22" s="1013"/>
      <c r="G22" s="1013"/>
      <c r="H22" s="442"/>
      <c r="O22" s="1013"/>
      <c r="P22" s="1013"/>
      <c r="Q22" s="1013"/>
      <c r="R22" s="1013"/>
      <c r="S22" s="1013"/>
    </row>
    <row r="23" spans="3:19" ht="15" customHeight="1" x14ac:dyDescent="0.25"/>
  </sheetData>
  <mergeCells count="15">
    <mergeCell ref="C19:G20"/>
    <mergeCell ref="C21:G22"/>
    <mergeCell ref="O19:S20"/>
    <mergeCell ref="O21:S22"/>
    <mergeCell ref="R9:T11"/>
    <mergeCell ref="I16:M17"/>
    <mergeCell ref="I18:M19"/>
    <mergeCell ref="C16:G17"/>
    <mergeCell ref="O16:S17"/>
    <mergeCell ref="O14:S15"/>
    <mergeCell ref="C14:G15"/>
    <mergeCell ref="B9:D11"/>
    <mergeCell ref="F9:H11"/>
    <mergeCell ref="J9:L11"/>
    <mergeCell ref="N9:P1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41</vt:i4>
      </vt:variant>
    </vt:vector>
  </HeadingPairs>
  <TitlesOfParts>
    <vt:vector size="41" baseType="lpstr">
      <vt:lpstr>MENU</vt:lpstr>
      <vt:lpstr>Raio Médio</vt:lpstr>
      <vt:lpstr>Tubo Redondo</vt:lpstr>
      <vt:lpstr>Tubo Quadrado</vt:lpstr>
      <vt:lpstr>Tubo Retangular</vt:lpstr>
      <vt:lpstr>Barra Redonda</vt:lpstr>
      <vt:lpstr>Conversão mm x in</vt:lpstr>
      <vt:lpstr>Cálculo Sobra Tubos</vt:lpstr>
      <vt:lpstr>Barra Quadrada</vt:lpstr>
      <vt:lpstr>Barra Sextavada</vt:lpstr>
      <vt:lpstr>Chapa Circular</vt:lpstr>
      <vt:lpstr>Plástico Bolha</vt:lpstr>
      <vt:lpstr>Definir Prensa</vt:lpstr>
      <vt:lpstr>ø para Perímetro</vt:lpstr>
      <vt:lpstr>Volume</vt:lpstr>
      <vt:lpstr>Túnel Pintura</vt:lpstr>
      <vt:lpstr>Pintura Pistola</vt:lpstr>
      <vt:lpstr>Tempo Pintura Pistola</vt:lpstr>
      <vt:lpstr>Tempo Túnel Pintura</vt:lpstr>
      <vt:lpstr>Tempo Túnel Pintura - Old</vt:lpstr>
      <vt:lpstr>Tinta AGCO</vt:lpstr>
      <vt:lpstr>Peso Chapas Plásticas</vt:lpstr>
      <vt:lpstr>Custo Mão de Obra Plásticos</vt:lpstr>
      <vt:lpstr>Aproveitamento Chapas</vt:lpstr>
      <vt:lpstr>Tinta + Fundo AGCO</vt:lpstr>
      <vt:lpstr>Tempos EMS</vt:lpstr>
      <vt:lpstr>Quantidade Tinta Pó</vt:lpstr>
      <vt:lpstr>Ativar Macros</vt:lpstr>
      <vt:lpstr>Botões Menu</vt:lpstr>
      <vt:lpstr>Perfil T</vt:lpstr>
      <vt:lpstr>Vigas U</vt:lpstr>
      <vt:lpstr>Vigas I</vt:lpstr>
      <vt:lpstr>Cantoneiras</vt:lpstr>
      <vt:lpstr>Desenvolvimento de Chapas</vt:lpstr>
      <vt:lpstr>Ferro Chato</vt:lpstr>
      <vt:lpstr>Aproveitamento + Guilhotina</vt:lpstr>
      <vt:lpstr>Corte Laser 2D - 3kW</vt:lpstr>
      <vt:lpstr>Corte Laser 2D - 12kW</vt:lpstr>
      <vt:lpstr>Corte Laser 3D</vt:lpstr>
      <vt:lpstr>Fator K</vt:lpstr>
      <vt:lpstr>Aproveitamento Sliter</vt:lpstr>
    </vt:vector>
  </TitlesOfParts>
  <Manager>felipe.marciano@amalcaburio.com.br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Cálculo para Engenharia</dc:title>
  <dc:creator>felipe.marciano</dc:creator>
  <cp:lastModifiedBy>Bernardo Pereira</cp:lastModifiedBy>
  <cp:lastPrinted>2021-08-13T14:41:32Z</cp:lastPrinted>
  <dcterms:created xsi:type="dcterms:W3CDTF">2012-01-20T17:54:24Z</dcterms:created>
  <dcterms:modified xsi:type="dcterms:W3CDTF">2026-10-28T17:05:43Z</dcterms:modified>
  <cp:category>Cálculos Técnicos</cp:category>
</cp:coreProperties>
</file>